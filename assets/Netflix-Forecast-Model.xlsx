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xr:revisionPtr revIDLastSave="0" documentId="8_{30B914DE-53D0-EF4B-8117-CC8B3AAA465F}" xr6:coauthVersionLast="47" xr6:coauthVersionMax="47" xr10:uidLastSave="{00000000-0000-0000-0000-000000000000}"/>
  <bookViews>
    <workbookView xWindow="6080" yWindow="780" windowWidth="28120" windowHeight="18720" activeTab="2" xr2:uid="{00000000-000D-0000-FFFF-FFFF00000000}"/>
  </bookViews>
  <sheets>
    <sheet name="Summary" sheetId="6" r:id="rId1"/>
    <sheet name="IS" sheetId="1" r:id="rId2"/>
    <sheet name="BS" sheetId="2" r:id="rId3"/>
    <sheet name="SCF forecast" sheetId="7" r:id="rId4"/>
    <sheet name="DC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<sst xmlns="http://schemas.openxmlformats.org/spreadsheetml/2006/main" count="229" uniqueCount="188">
  <si>
    <t>CONSOLIDATED STATEMENTS OF OPERATIONS - USD ($) shares in Thousands, $ in Thousands</t>
  </si>
  <si>
    <t>Revenues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</si>
  <si>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</si>
  <si>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</si>
  <si>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</si>
  <si>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</si>
  <si>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</si>
  <si>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</si>
  <si>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>Interest expense</t>
  </si>
  <si>
    <t>Interest and other income (expense)</t>
  </si>
  <si>
    <t>Income before income taxes</t>
  </si>
  <si>
    <t>Provision for income taxes</t>
  </si>
  <si>
    <t>Net income</t>
  </si>
  <si>
    <t>CONSOLIDATED BALANCE SHEETS - USD ($) $ in Thousands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</si>
  <si>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</si>
  <si>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</si>
  <si>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</si>
  <si>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</si>
  <si>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</si>
  <si>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</si>
  <si>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</si>
  <si>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</si>
  <si>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</si>
  <si>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</si>
  <si>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</si>
  <si>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</si>
  <si>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</si>
  <si>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</si>
  <si>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</si>
  <si>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</si>
  <si>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</si>
  <si>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</si>
  <si>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</si>
  <si>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</si>
  <si>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Stockholders’ equity:</t>
  </si>
  <si>
    <t>Retained earnings</t>
  </si>
  <si>
    <t>Total stockholders’ equity</t>
  </si>
  <si>
    <t>Total liabilities and stockholders’ equity</t>
  </si>
  <si>
    <t>Amortization of content assets</t>
  </si>
  <si>
    <t>Stock-based compensation expense</t>
  </si>
  <si>
    <t>Accumulated other comprehensive income (loss)</t>
  </si>
  <si>
    <t>Treasury stock at cost</t>
  </si>
  <si>
    <t>COGS/revenue</t>
  </si>
  <si>
    <t>G&amp;A growth</t>
  </si>
  <si>
    <t>interest income: return on cash</t>
  </si>
  <si>
    <t>interest expense: implied rate on debt</t>
  </si>
  <si>
    <t>ETR</t>
  </si>
  <si>
    <t>Marketing growth</t>
  </si>
  <si>
    <t>T&amp;D growth</t>
  </si>
  <si>
    <t>12 Months Ended December 31,</t>
  </si>
  <si>
    <t>PP&amp;E, net</t>
  </si>
  <si>
    <t xml:space="preserve"> BOY</t>
  </si>
  <si>
    <t>Add: CapEx</t>
  </si>
  <si>
    <t>EOY</t>
  </si>
  <si>
    <t>Less: Retirements</t>
  </si>
  <si>
    <t>Treasury Stock</t>
  </si>
  <si>
    <t>Retained Earnings</t>
  </si>
  <si>
    <t>Less: Dividends</t>
  </si>
  <si>
    <t xml:space="preserve">As of December 31, </t>
  </si>
  <si>
    <t>LT Debt</t>
  </si>
  <si>
    <t>Common Stock</t>
  </si>
  <si>
    <t>CASH FLOW STATEMENTS - USD ($) $ in Thousands</t>
  </si>
  <si>
    <t>Operating cash flow</t>
  </si>
  <si>
    <t>Investing cash flow</t>
  </si>
  <si>
    <t>Financing Cash flow</t>
  </si>
  <si>
    <t>Net change in cash</t>
  </si>
  <si>
    <t>EBIT</t>
  </si>
  <si>
    <t>FCFF</t>
  </si>
  <si>
    <t>Year: (n)</t>
  </si>
  <si>
    <t>Modeling Assumptions:</t>
  </si>
  <si>
    <t>Depreciation and amortization of PP&amp;E and intangibles</t>
  </si>
  <si>
    <t>Modeling Assumptions</t>
  </si>
  <si>
    <t>Revenue growth rate</t>
  </si>
  <si>
    <t>Enterprise Value [DCF] Model</t>
  </si>
  <si>
    <t>Discount rate</t>
  </si>
  <si>
    <t>Comments</t>
  </si>
  <si>
    <t>FY23 SCF</t>
  </si>
  <si>
    <t>Enterprise Free Cash Flow (FCFF)</t>
  </si>
  <si>
    <t>Balance Sheet  Rollforwards</t>
  </si>
  <si>
    <t>Add: Net additions</t>
  </si>
  <si>
    <t>Add: Issuances</t>
  </si>
  <si>
    <t>Add: Issuances for cash</t>
  </si>
  <si>
    <t>Add: Share repurchases</t>
  </si>
  <si>
    <t/>
  </si>
  <si>
    <t>Common stock</t>
  </si>
  <si>
    <t/>
  </si>
  <si>
    <t xml:space="preserve">Netflix, Inc. </t>
  </si>
  <si>
    <t>Adjusted EBITDA</t>
  </si>
  <si>
    <t/>
  </si>
  <si>
    <t>Less: Content amortization*</t>
  </si>
  <si>
    <t>Short-term Investments</t>
  </si>
  <si>
    <t>±net additions or disposals</t>
  </si>
  <si>
    <t>±gains/losses or other non-cash adjustments*</t>
  </si>
  <si>
    <t>Less: Depreciation*</t>
  </si>
  <si>
    <t>Add: Stock compensation*</t>
  </si>
  <si>
    <t>Add: Net income*</t>
  </si>
  <si>
    <t>AOCI</t>
  </si>
  <si>
    <t>± other comprehensive income, net</t>
  </si>
  <si>
    <t>Significant non-cash items included in Operating Income (2021-2023 data from Cash Flow Statement)</t>
  </si>
  <si>
    <t>Stock comp growth</t>
  </si>
  <si>
    <t>TV growth rate</t>
  </si>
  <si>
    <t>Enterprise Value ($ billions)</t>
  </si>
  <si>
    <t>December 31, 2023</t>
  </si>
  <si>
    <t>Market</t>
  </si>
  <si>
    <t>Model</t>
  </si>
  <si>
    <t>Enterprise Value [Model]</t>
  </si>
  <si>
    <t>Diff [%]</t>
  </si>
  <si>
    <t>Management guidance of 13-15%</t>
  </si>
  <si>
    <t>Assume average historical data</t>
  </si>
  <si>
    <t xml:space="preserve">No growth </t>
  </si>
  <si>
    <t xml:space="preserve">Fade over time </t>
  </si>
  <si>
    <t>historical average</t>
  </si>
  <si>
    <t xml:space="preserve">Market Rates </t>
  </si>
  <si>
    <t/>
  </si>
  <si>
    <t/>
  </si>
  <si>
    <t xml:space="preserve">PLUG to balance </t>
  </si>
  <si>
    <t>OA</t>
  </si>
  <si>
    <t>OL</t>
  </si>
  <si>
    <t>D&amp;A/PP&amp;E (BoY)</t>
  </si>
  <si>
    <t>roll forward</t>
  </si>
  <si>
    <t xml:space="preserve">$400 million per year </t>
  </si>
  <si>
    <t/>
  </si>
  <si>
    <t xml:space="preserve">assume 0 </t>
  </si>
  <si>
    <t xml:space="preserve">MGMT guidence, assume $17 billion </t>
  </si>
  <si>
    <t>Content amortization</t>
  </si>
  <si>
    <t/>
  </si>
  <si>
    <t xml:space="preserve">Net Income </t>
  </si>
  <si>
    <t>Add: Stock Compensation</t>
  </si>
  <si>
    <t>Less: Additions to Content assets</t>
  </si>
  <si>
    <t xml:space="preserve">Purchase of short term investments </t>
  </si>
  <si>
    <t xml:space="preserve">Add: Depreciation </t>
  </si>
  <si>
    <t xml:space="preserve">Roll Forward </t>
  </si>
  <si>
    <t>OA, roll forward</t>
  </si>
  <si>
    <t>roll forward, investing</t>
  </si>
  <si>
    <t>$8.4 billion over 5 years so 1.68 annually</t>
  </si>
  <si>
    <t>Less: Implied income taxes</t>
  </si>
  <si>
    <t>EBIT, net implied taxed</t>
  </si>
  <si>
    <t>Add: depreciation</t>
  </si>
  <si>
    <t>add: stock compensation</t>
  </si>
  <si>
    <t>Change in non-cash OA and OL</t>
  </si>
  <si>
    <t>Subtotal</t>
  </si>
  <si>
    <t>add: amortization</t>
  </si>
  <si>
    <t>NOPAT</t>
  </si>
  <si>
    <t>CAPEX</t>
  </si>
  <si>
    <t>TV</t>
  </si>
  <si>
    <t xml:space="preserve">PV factor </t>
  </si>
  <si>
    <t>growth rate</t>
  </si>
  <si>
    <t>Historical average</t>
  </si>
  <si>
    <t>Historical average of Depreciation Expense / PP&amp;E BoY</t>
  </si>
  <si>
    <t>Grows with inflation</t>
  </si>
  <si>
    <t xml:space="preserve">High Single Digit Numbers </t>
  </si>
  <si>
    <t>Add: Amortization of Content</t>
  </si>
  <si>
    <t xml:space="preserve">      Change in OA and OL </t>
  </si>
  <si>
    <t>Purchase of PP&amp;E (CAPEX)</t>
  </si>
  <si>
    <t>Cash received for issuance of C/S</t>
  </si>
  <si>
    <t>Cash Paid for Treasury Stock Repurchase</t>
  </si>
  <si>
    <t xml:space="preserve">Cash Paid to retire short term debt </t>
  </si>
  <si>
    <t xml:space="preserve">Cash paid to retire LT debt </t>
  </si>
  <si>
    <t xml:space="preserve">Cash received for issuance of LT debt </t>
  </si>
  <si>
    <t xml:space="preserve">Discount Rate </t>
  </si>
  <si>
    <t>Financial Summary</t>
  </si>
  <si>
    <t>Income Statement [$millions]</t>
  </si>
  <si>
    <t xml:space="preserve">Year ended December 31, </t>
  </si>
  <si>
    <t xml:space="preserve">Revenue </t>
  </si>
  <si>
    <t>Operating Income</t>
  </si>
  <si>
    <t>Net Income</t>
  </si>
  <si>
    <t>Cash Flows [$millions]</t>
  </si>
  <si>
    <t>Operatig Cash Flows</t>
  </si>
  <si>
    <t>Share Repurcahses</t>
  </si>
  <si>
    <t xml:space="preserve">Cash paid for Content Assets </t>
  </si>
  <si>
    <t>Free Cash flow [basic]</t>
  </si>
  <si>
    <t>Enterprise Free Cash Flow</t>
  </si>
  <si>
    <t>Balance Sheets  [$millions]</t>
  </si>
  <si>
    <t>Total Assets</t>
  </si>
  <si>
    <t>Total Liabilitiies</t>
  </si>
  <si>
    <t>Current Content Liabilities</t>
  </si>
  <si>
    <t>Net Working Capital</t>
  </si>
  <si>
    <t>Total Equity</t>
  </si>
  <si>
    <t>Content Assets</t>
  </si>
  <si>
    <t>Current Ratio</t>
  </si>
  <si>
    <t xml:space="preserve">Operating Margin </t>
  </si>
  <si>
    <t xml:space="preserve">Profit Margin </t>
  </si>
  <si>
    <t>EBITDA margin</t>
  </si>
  <si>
    <t>ROE</t>
  </si>
  <si>
    <t xml:space="preserve">ROA </t>
  </si>
  <si>
    <t>Revenue Growth</t>
  </si>
  <si>
    <t>FCFF Growth</t>
  </si>
  <si>
    <t>Ratio and Growth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</si>
</sst>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 &quot;#,##0_);_(&quot;$ &quot;\(#,##0\)"/>
    <numFmt numFmtId="165" formatCode="_(* #,##0_);_(* \(#,##0\);_(* &quot;-&quot;??_);_(@_)"/>
    <numFmt numFmtId="166" formatCode="0.0%"/>
    <numFmt numFmtId="167" formatCode="_(&quot;$&quot;* #,##0_);_(&quot;$&quot;* \(#,##0\);_(&quot;$&quot;* &quot;-&quot;??_);_(@_)"/>
    <numFmt numFmtId="168" formatCode="_(* #,##0.00000_);_(* \(#,##0.00000\);_(* &quot;-&quot;??_);_(@_)"/>
    <numFmt numFmtId="169" formatCode="_(&quot;$&quot;* #,##0.0_);_(&quot;$&quot;* \(#,##0.0\);_(&quot;$&quot;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sz val="12"/>
      <color theme="1"/>
      <name val="Calibri"/>
      <family val="2"/>
    </font>
    <font>
      <b/>
      <i/>
      <sz val="20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sz val="18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0B2F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68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/>
    <xf numFmtId="0" fontId="7" fillId="0" borderId="0" xfId="0" applyFont="1"/>
    <xf numFmtId="166" fontId="0" fillId="0" borderId="0" xfId="2" applyNumberFormat="1" applyFont="1"/>
    <xf numFmtId="3" fontId="8" fillId="0" borderId="0" xfId="0" applyNumberFormat="1" applyFont="1"/>
    <xf numFmtId="0" fontId="8" fillId="0" borderId="0" xfId="0" applyFont="1"/>
    <xf numFmtId="165" fontId="9" fillId="0" borderId="1" xfId="1" applyNumberFormat="1" applyFont="1" applyBorder="1"/>
    <xf numFmtId="165" fontId="8" fillId="0" borderId="0" xfId="1" applyNumberFormat="1" applyFont="1"/>
    <xf numFmtId="165" fontId="8" fillId="0" borderId="2" xfId="1" applyNumberFormat="1" applyFont="1" applyBorder="1"/>
    <xf numFmtId="165" fontId="9" fillId="0" borderId="0" xfId="1" applyNumberFormat="1" applyFont="1"/>
    <xf numFmtId="165" fontId="0" fillId="0" borderId="0" xfId="1" applyNumberFormat="1" applyFont="1"/>
    <xf numFmtId="9" fontId="0" fillId="0" borderId="0" xfId="0" applyNumberFormat="1"/>
    <xf numFmtId="165" fontId="0" fillId="0" borderId="2" xfId="1" applyNumberFormat="1" applyFont="1" applyBorder="1"/>
    <xf numFmtId="165" fontId="5" fillId="0" borderId="0" xfId="1" applyNumberFormat="1" applyFont="1"/>
    <xf numFmtId="165" fontId="0" fillId="0" borderId="1" xfId="1" applyNumberFormat="1" applyFont="1" applyBorder="1"/>
    <xf numFmtId="164" fontId="4" fillId="0" borderId="0" xfId="3" applyNumberFormat="1" applyFont="1" applyAlignment="1">
      <alignment horizontal="right" vertical="top"/>
    </xf>
    <xf numFmtId="165" fontId="6" fillId="0" borderId="0" xfId="0" applyNumberFormat="1" applyFont="1"/>
    <xf numFmtId="165" fontId="6" fillId="0" borderId="0" xfId="1" applyNumberFormat="1" applyFont="1"/>
    <xf numFmtId="165" fontId="0" fillId="0" borderId="0" xfId="1" applyNumberFormat="1" applyFont="1" applyBorder="1"/>
    <xf numFmtId="165" fontId="9" fillId="0" borderId="0" xfId="1" applyNumberFormat="1" applyFont="1" applyBorder="1"/>
    <xf numFmtId="165" fontId="8" fillId="0" borderId="0" xfId="1" applyNumberFormat="1" applyFont="1" applyBorder="1"/>
    <xf numFmtId="165" fontId="9" fillId="0" borderId="3" xfId="1" applyNumberFormat="1" applyFont="1" applyBorder="1"/>
    <xf numFmtId="164" fontId="4" fillId="0" borderId="0" xfId="3" applyNumberFormat="1" applyFont="1" applyAlignment="1">
      <alignment horizontal="left" vertical="top"/>
    </xf>
    <xf numFmtId="165" fontId="6" fillId="0" borderId="2" xfId="0" applyNumberFormat="1" applyFont="1" applyBorder="1"/>
    <xf numFmtId="165" fontId="7" fillId="0" borderId="0" xfId="0" applyNumberFormat="1" applyFont="1"/>
    <xf numFmtId="0" fontId="10" fillId="2" borderId="0" xfId="0" applyFont="1" applyFill="1" applyAlignment="1">
      <alignment horizontal="centerContinuous" vertical="center" wrapText="1"/>
    </xf>
    <xf numFmtId="164" fontId="4" fillId="2" borderId="0" xfId="3" applyNumberFormat="1" applyFont="1" applyFill="1" applyAlignment="1">
      <alignment horizontal="centerContinuous" vertical="top"/>
    </xf>
    <xf numFmtId="0" fontId="6" fillId="2" borderId="0" xfId="0" applyFont="1" applyFill="1" applyAlignment="1">
      <alignment horizontal="centerContinuous"/>
    </xf>
    <xf numFmtId="165" fontId="6" fillId="2" borderId="0" xfId="0" applyNumberFormat="1" applyFont="1" applyFill="1" applyAlignment="1">
      <alignment horizontal="centerContinuous"/>
    </xf>
    <xf numFmtId="0" fontId="12" fillId="4" borderId="5" xfId="0" applyFont="1" applyFill="1" applyBorder="1" applyAlignment="1">
      <alignment horizontal="centerContinuous"/>
    </xf>
    <xf numFmtId="0" fontId="12" fillId="4" borderId="6" xfId="0" applyFont="1" applyFill="1" applyBorder="1" applyAlignment="1">
      <alignment horizontal="centerContinuous"/>
    </xf>
    <xf numFmtId="0" fontId="12" fillId="4" borderId="7" xfId="0" applyFont="1" applyFill="1" applyBorder="1" applyAlignment="1">
      <alignment horizontal="centerContinuous"/>
    </xf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2" xfId="0" applyBorder="1"/>
    <xf numFmtId="0" fontId="0" fillId="0" borderId="10" xfId="0" applyBorder="1"/>
    <xf numFmtId="0" fontId="0" fillId="0" borderId="3" xfId="0" applyBorder="1"/>
    <xf numFmtId="0" fontId="0" fillId="0" borderId="13" xfId="0" applyBorder="1"/>
    <xf numFmtId="0" fontId="2" fillId="0" borderId="12" xfId="0" applyFont="1" applyBorder="1"/>
    <xf numFmtId="0" fontId="13" fillId="0" borderId="0" xfId="0" applyFont="1"/>
    <xf numFmtId="166" fontId="13" fillId="0" borderId="0" xfId="2" applyNumberFormat="1" applyFont="1"/>
    <xf numFmtId="0" fontId="14" fillId="0" borderId="0" xfId="0" applyFont="1"/>
    <xf numFmtId="165" fontId="0" fillId="0" borderId="9" xfId="0" applyNumberFormat="1" applyBorder="1"/>
    <xf numFmtId="0" fontId="16" fillId="0" borderId="0" xfId="0" applyFont="1"/>
    <xf numFmtId="0" fontId="2" fillId="0" borderId="3" xfId="0" applyFont="1" applyBorder="1" applyAlignment="1">
      <alignment horizontal="center"/>
    </xf>
    <xf numFmtId="0" fontId="17" fillId="0" borderId="0" xfId="0" applyFont="1"/>
    <xf numFmtId="0" fontId="18" fillId="0" borderId="0" xfId="3" applyFont="1" applyAlignment="1">
      <alignment horizontal="right" vertical="top"/>
    </xf>
    <xf numFmtId="0" fontId="17" fillId="0" borderId="3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9" fillId="7" borderId="0" xfId="0" applyFont="1" applyFill="1" applyAlignment="1">
      <alignment horizontal="center"/>
    </xf>
    <xf numFmtId="164" fontId="3" fillId="0" borderId="0" xfId="3" applyNumberFormat="1" applyFont="1" applyAlignment="1">
      <alignment horizontal="center" vertical="top"/>
    </xf>
    <xf numFmtId="165" fontId="4" fillId="0" borderId="0" xfId="1" applyNumberFormat="1" applyFont="1" applyAlignment="1">
      <alignment horizontal="right" vertical="top"/>
    </xf>
    <xf numFmtId="166" fontId="0" fillId="0" borderId="0" xfId="2" applyNumberFormat="1" applyFont="1" applyFill="1"/>
    <xf numFmtId="10" fontId="0" fillId="0" borderId="0" xfId="2" applyNumberFormat="1" applyFont="1" applyFill="1"/>
    <xf numFmtId="165" fontId="4" fillId="0" borderId="0" xfId="1" applyNumberFormat="1" applyFont="1" applyFill="1"/>
    <xf numFmtId="165" fontId="6" fillId="0" borderId="0" xfId="1" applyNumberFormat="1" applyFont="1" applyFill="1"/>
    <xf numFmtId="0" fontId="3" fillId="0" borderId="0" xfId="3" applyFont="1" applyAlignment="1">
      <alignment vertical="center" wrapText="1"/>
    </xf>
    <xf numFmtId="165" fontId="0" fillId="0" borderId="0" xfId="1" applyNumberFormat="1" applyFont="1" applyFill="1"/>
    <xf numFmtId="165" fontId="0" fillId="0" borderId="2" xfId="1" applyNumberFormat="1" applyFont="1" applyFill="1" applyBorder="1"/>
    <xf numFmtId="165" fontId="2" fillId="0" borderId="0" xfId="1" applyNumberFormat="1" applyFont="1" applyFill="1"/>
    <xf numFmtId="165" fontId="5" fillId="0" borderId="1" xfId="1" applyNumberFormat="1" applyFont="1" applyFill="1" applyBorder="1"/>
    <xf numFmtId="165" fontId="0" fillId="0" borderId="0" xfId="1" applyNumberFormat="1" applyFont="1" applyFill="1" applyBorder="1"/>
    <xf numFmtId="165" fontId="5" fillId="0" borderId="0" xfId="1" applyNumberFormat="1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65" fontId="0" fillId="0" borderId="2" xfId="0" applyNumberFormat="1" applyBorder="1"/>
    <xf numFmtId="165" fontId="0" fillId="0" borderId="1" xfId="0" applyNumberFormat="1" applyBorder="1"/>
    <xf numFmtId="0" fontId="0" fillId="0" borderId="8" xfId="0" applyBorder="1" applyAlignment="1">
      <alignment vertical="top"/>
    </xf>
    <xf numFmtId="0" fontId="16" fillId="0" borderId="2" xfId="0" applyFont="1" applyBorder="1"/>
    <xf numFmtId="0" fontId="2" fillId="0" borderId="2" xfId="0" applyFont="1" applyBorder="1"/>
    <xf numFmtId="9" fontId="0" fillId="0" borderId="0" xfId="2" applyFont="1"/>
    <xf numFmtId="165" fontId="7" fillId="0" borderId="6" xfId="0" applyNumberFormat="1" applyFont="1" applyBorder="1"/>
    <xf numFmtId="165" fontId="7" fillId="0" borderId="1" xfId="0" applyNumberFormat="1" applyFont="1" applyBorder="1"/>
    <xf numFmtId="10" fontId="0" fillId="5" borderId="4" xfId="2" applyNumberFormat="1" applyFont="1" applyFill="1" applyBorder="1"/>
    <xf numFmtId="10" fontId="0" fillId="5" borderId="4" xfId="0" applyNumberFormat="1" applyFill="1" applyBorder="1"/>
    <xf numFmtId="165" fontId="0" fillId="0" borderId="0" xfId="0" applyNumberFormat="1"/>
    <xf numFmtId="167" fontId="2" fillId="6" borderId="4" xfId="4" applyNumberFormat="1" applyFont="1" applyFill="1" applyBorder="1"/>
    <xf numFmtId="10" fontId="0" fillId="0" borderId="0" xfId="2" applyNumberFormat="1" applyFont="1"/>
    <xf numFmtId="0" fontId="0" fillId="0" borderId="12" xfId="0" applyBorder="1"/>
    <xf numFmtId="0" fontId="21" fillId="8" borderId="0" xfId="0" applyFont="1" applyFill="1" applyAlignment="1">
      <alignment horizontal="centerContinuous" vertical="center"/>
    </xf>
    <xf numFmtId="0" fontId="20" fillId="8" borderId="0" xfId="0" applyFont="1" applyFill="1" applyAlignment="1">
      <alignment horizontal="centerContinuous"/>
    </xf>
    <xf numFmtId="10" fontId="0" fillId="0" borderId="0" xfId="2" applyNumberFormat="1" applyFont="1" applyBorder="1"/>
    <xf numFmtId="44" fontId="0" fillId="0" borderId="0" xfId="0" applyNumberFormat="1"/>
    <xf numFmtId="166" fontId="14" fillId="0" borderId="0" xfId="2" applyNumberFormat="1" applyFont="1" applyFill="1"/>
    <xf numFmtId="0" fontId="11" fillId="0" borderId="0" xfId="0" applyFont="1"/>
    <xf numFmtId="165" fontId="6" fillId="0" borderId="1" xfId="1" applyNumberFormat="1" applyFont="1" applyBorder="1"/>
    <xf numFmtId="165" fontId="6" fillId="0" borderId="0" xfId="1" applyNumberFormat="1" applyFont="1" applyFill="1" applyBorder="1"/>
    <xf numFmtId="165" fontId="6" fillId="0" borderId="2" xfId="1" applyNumberFormat="1" applyFont="1" applyBorder="1"/>
    <xf numFmtId="165" fontId="6" fillId="0" borderId="14" xfId="1" applyNumberFormat="1" applyFont="1" applyBorder="1"/>
    <xf numFmtId="10" fontId="0" fillId="0" borderId="0" xfId="2" applyNumberFormat="1" applyFont="1" applyFill="1" applyBorder="1"/>
    <xf numFmtId="0" fontId="2" fillId="0" borderId="0" xfId="0" applyFont="1" applyAlignment="1">
      <alignment horizontal="right"/>
    </xf>
    <xf numFmtId="168" fontId="0" fillId="0" borderId="0" xfId="1" applyNumberFormat="1" applyFont="1" applyFill="1" applyBorder="1"/>
    <xf numFmtId="0" fontId="2" fillId="0" borderId="9" xfId="0" applyFont="1" applyBorder="1" applyAlignment="1">
      <alignment horizontal="right"/>
    </xf>
    <xf numFmtId="0" fontId="11" fillId="10" borderId="0" xfId="0" applyFont="1" applyFill="1"/>
    <xf numFmtId="0" fontId="11" fillId="6" borderId="0" xfId="0" applyFont="1" applyFill="1"/>
    <xf numFmtId="0" fontId="0" fillId="10" borderId="0" xfId="0" applyFill="1"/>
    <xf numFmtId="165" fontId="0" fillId="0" borderId="15" xfId="0" applyNumberFormat="1" applyBorder="1"/>
    <xf numFmtId="165" fontId="0" fillId="0" borderId="15" xfId="1" applyNumberFormat="1" applyFont="1" applyFill="1" applyBorder="1"/>
    <xf numFmtId="165" fontId="0" fillId="0" borderId="16" xfId="1" applyNumberFormat="1" applyFont="1" applyFill="1" applyBorder="1"/>
    <xf numFmtId="43" fontId="0" fillId="0" borderId="12" xfId="1" applyFont="1" applyBorder="1"/>
    <xf numFmtId="43" fontId="0" fillId="0" borderId="3" xfId="1" applyFont="1" applyBorder="1"/>
    <xf numFmtId="43" fontId="0" fillId="0" borderId="13" xfId="1" applyFont="1" applyBorder="1"/>
    <xf numFmtId="43" fontId="0" fillId="0" borderId="8" xfId="1" applyFont="1" applyBorder="1"/>
    <xf numFmtId="43" fontId="0" fillId="0" borderId="0" xfId="1" applyFont="1"/>
    <xf numFmtId="43" fontId="0" fillId="0" borderId="9" xfId="1" applyFont="1" applyBorder="1"/>
    <xf numFmtId="43" fontId="0" fillId="0" borderId="11" xfId="1" applyFont="1" applyBorder="1"/>
    <xf numFmtId="43" fontId="0" fillId="0" borderId="2" xfId="1" applyFont="1" applyBorder="1"/>
    <xf numFmtId="43" fontId="0" fillId="0" borderId="10" xfId="1" applyFont="1" applyBorder="1"/>
    <xf numFmtId="0" fontId="2" fillId="0" borderId="6" xfId="0" applyFont="1" applyBorder="1"/>
    <xf numFmtId="0" fontId="2" fillId="0" borderId="7" xfId="0" applyFont="1" applyBorder="1"/>
    <xf numFmtId="43" fontId="0" fillId="0" borderId="0" xfId="1" applyFont="1" applyBorder="1"/>
    <xf numFmtId="43" fontId="6" fillId="0" borderId="0" xfId="1" applyFont="1"/>
    <xf numFmtId="43" fontId="0" fillId="0" borderId="0" xfId="0" applyNumberFormat="1"/>
    <xf numFmtId="9" fontId="0" fillId="0" borderId="0" xfId="2" applyFont="1" applyBorder="1"/>
    <xf numFmtId="166" fontId="0" fillId="0" borderId="0" xfId="2" applyNumberFormat="1" applyFont="1" applyBorder="1"/>
    <xf numFmtId="166" fontId="0" fillId="0" borderId="9" xfId="2" applyNumberFormat="1" applyFont="1" applyBorder="1"/>
    <xf numFmtId="9" fontId="0" fillId="0" borderId="9" xfId="2" applyFont="1" applyBorder="1"/>
    <xf numFmtId="0" fontId="0" fillId="11" borderId="0" xfId="0" applyFill="1"/>
    <xf numFmtId="0" fontId="15" fillId="12" borderId="12" xfId="0" applyFont="1" applyFill="1" applyBorder="1"/>
    <xf numFmtId="0" fontId="15" fillId="12" borderId="12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5" fillId="12" borderId="1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26" fillId="11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22" fillId="4" borderId="5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49" fontId="23" fillId="9" borderId="12" xfId="0" applyNumberFormat="1" applyFont="1" applyFill="1" applyBorder="1" applyAlignment="1">
      <alignment horizontal="center" vertical="center" wrapText="1"/>
    </xf>
    <xf numFmtId="49" fontId="23" fillId="9" borderId="3" xfId="0" applyNumberFormat="1" applyFont="1" applyFill="1" applyBorder="1" applyAlignment="1">
      <alignment horizontal="center" vertical="center" wrapText="1"/>
    </xf>
    <xf numFmtId="49" fontId="23" fillId="9" borderId="8" xfId="0" applyNumberFormat="1" applyFont="1" applyFill="1" applyBorder="1" applyAlignment="1">
      <alignment horizontal="center" vertical="center" wrapText="1"/>
    </xf>
    <xf numFmtId="49" fontId="23" fillId="9" borderId="0" xfId="0" applyNumberFormat="1" applyFont="1" applyFill="1" applyAlignment="1">
      <alignment horizontal="center" vertical="center" wrapText="1"/>
    </xf>
    <xf numFmtId="49" fontId="23" fillId="9" borderId="11" xfId="0" applyNumberFormat="1" applyFont="1" applyFill="1" applyBorder="1" applyAlignment="1">
      <alignment horizontal="center" vertical="center" wrapText="1"/>
    </xf>
    <xf numFmtId="49" fontId="23" fillId="9" borderId="2" xfId="0" applyNumberFormat="1" applyFont="1" applyFill="1" applyBorder="1" applyAlignment="1">
      <alignment horizontal="center" vertical="center" wrapText="1"/>
    </xf>
    <xf numFmtId="169" fontId="24" fillId="0" borderId="5" xfId="4" applyNumberFormat="1" applyFont="1" applyBorder="1" applyAlignment="1">
      <alignment horizontal="center"/>
    </xf>
    <xf numFmtId="169" fontId="24" fillId="0" borderId="7" xfId="4" applyNumberFormat="1" applyFont="1" applyBorder="1" applyAlignment="1">
      <alignment horizontal="center"/>
    </xf>
    <xf numFmtId="49" fontId="23" fillId="9" borderId="10" xfId="0" applyNumberFormat="1" applyFont="1" applyFill="1" applyBorder="1" applyAlignment="1">
      <alignment horizontal="center" vertical="center" wrapText="1"/>
    </xf>
    <xf numFmtId="169" fontId="25" fillId="5" borderId="5" xfId="4" applyNumberFormat="1" applyFont="1" applyFill="1" applyBorder="1" applyAlignment="1">
      <alignment horizontal="center"/>
    </xf>
    <xf numFmtId="169" fontId="25" fillId="5" borderId="7" xfId="4" applyNumberFormat="1" applyFont="1" applyFill="1" applyBorder="1" applyAlignment="1">
      <alignment horizontal="center"/>
    </xf>
    <xf numFmtId="49" fontId="23" fillId="9" borderId="6" xfId="0" applyNumberFormat="1" applyFont="1" applyFill="1" applyBorder="1" applyAlignment="1">
      <alignment horizontal="center" vertical="center" wrapText="1"/>
    </xf>
    <xf numFmtId="10" fontId="24" fillId="0" borderId="5" xfId="2" applyNumberFormat="1" applyFont="1" applyBorder="1" applyAlignment="1">
      <alignment horizontal="right"/>
    </xf>
    <xf numFmtId="10" fontId="24" fillId="0" borderId="7" xfId="2" applyNumberFormat="1" applyFont="1" applyBorder="1" applyAlignment="1">
      <alignment horizontal="right"/>
    </xf>
    <xf numFmtId="0" fontId="2" fillId="0" borderId="0" xfId="0" applyFont="1" applyAlignment="1">
      <alignment horizontal="center" wrapText="1"/>
    </xf>
    <xf numFmtId="0" fontId="12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</cellXfs>
  <cellStyles count="5">
    <cellStyle name="Comma" xfId="1" builtinId="3"/>
    <cellStyle name="Currency" xfId="4" builtinId="4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colors>
    <mruColors>
      <color rgb="FFE0B2FE"/>
      <color rgb="FFB14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41688538932634"/>
          <c:y val="0.1161344415281423"/>
          <c:w val="0.81569422572178474"/>
          <c:h val="0.72094889180519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Summary!$C$20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Summary!$D$19:$H$19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Summary!$D$20:$H$20</c:f>
              <c:numCache>
                <c:formatCode>_(* #,##0.00_);_(* \(#,##0.00\);_(* "-"??_);_(@_)</c:formatCode>
                <c:ptCount val="5"/>
                <c:pt idx="0">
                  <c:v>38107.32561</c:v>
                </c:pt>
                <c:pt idx="1">
                  <c:v>43061.277939299995</c:v>
                </c:pt>
                <c:pt idx="2">
                  <c:v>48874.550461105493</c:v>
                </c:pt>
                <c:pt idx="3">
                  <c:v>55472.61477335474</c:v>
                </c:pt>
                <c:pt idx="4">
                  <c:v>63238.780841624408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5-B64B-8583-4B01FB013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4552719"/>
        <c:axId val="1834906799"/>
      </c:barChart>
      <c:lineChart>
        <c:grouping val="standard"/>
        <c:varyColors val="0"/>
        <c:ser>
          <c:idx val="1"/>
          <c:order val="1"/>
          <c:tx>
            <c:v>Operating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Summary!$V$20:$Z$20</c:f>
              <c:numCache>
                <c:formatCode>_(* #,##0.00_);_(* \(#,##0.00\);_(* "-"??_);_(@_)</c:formatCode>
                <c:ptCount val="5"/>
                <c:pt idx="0">
                  <c:v>1.4689069255456904</c:v>
                </c:pt>
                <c:pt idx="1">
                  <c:v>1.997161171269386</c:v>
                </c:pt>
                <c:pt idx="2">
                  <c:v>2.6618766623952768</c:v>
                </c:pt>
                <c:pt idx="3">
                  <c:v>3.4503384569635256</c:v>
                </c:pt>
                <c:pt idx="4">
                  <c:v>4.3071013591432914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5-B64B-8583-4B01FB013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552719"/>
        <c:axId val="1834906799"/>
      </c:lineChart>
      <c:catAx>
        <c:axId val="183455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06799"/>
        <c:crosses val="autoZero"/>
        <c:auto val="1"/>
        <c:lblAlgn val="ctr"/>
        <c:lblOffset val="100"/>
        <c:noMultiLvlLbl val="0"/>
      </c:catAx>
      <c:valAx>
        <c:axId val="18349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5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6.xml"/><Relationship Id="rId21" Type="http://schemas.openxmlformats.org/officeDocument/2006/relationships/customXml" Target="../ink/ink21.xml"/><Relationship Id="rId34" Type="http://schemas.openxmlformats.org/officeDocument/2006/relationships/customXml" Target="../ink/ink34.xml"/><Relationship Id="rId42" Type="http://schemas.openxmlformats.org/officeDocument/2006/relationships/customXml" Target="../ink/ink42.xml"/><Relationship Id="rId47" Type="http://schemas.openxmlformats.org/officeDocument/2006/relationships/customXml" Target="../ink/ink47.xml"/><Relationship Id="rId50" Type="http://schemas.openxmlformats.org/officeDocument/2006/relationships/customXml" Target="../ink/ink50.xml"/><Relationship Id="rId55" Type="http://schemas.openxmlformats.org/officeDocument/2006/relationships/customXml" Target="../ink/ink55.xml"/><Relationship Id="rId63" Type="http://schemas.openxmlformats.org/officeDocument/2006/relationships/customXml" Target="../ink/ink63.xml"/><Relationship Id="rId7" Type="http://schemas.openxmlformats.org/officeDocument/2006/relationships/customXml" Target="../ink/ink8.xml"/><Relationship Id="rId2" Type="http://schemas.openxmlformats.org/officeDocument/2006/relationships/image" Target="../media/image2.png"/><Relationship Id="rId16" Type="http://schemas.openxmlformats.org/officeDocument/2006/relationships/customXml" Target="../ink/ink16.xml"/><Relationship Id="rId29" Type="http://schemas.openxmlformats.org/officeDocument/2006/relationships/customXml" Target="../ink/ink29.xml"/><Relationship Id="rId11" Type="http://schemas.openxmlformats.org/officeDocument/2006/relationships/customXml" Target="../ink/ink11.xml"/><Relationship Id="rId24" Type="http://schemas.openxmlformats.org/officeDocument/2006/relationships/customXml" Target="../ink/ink24.xml"/><Relationship Id="rId32" Type="http://schemas.openxmlformats.org/officeDocument/2006/relationships/customXml" Target="../ink/ink32.xml"/><Relationship Id="rId37" Type="http://schemas.openxmlformats.org/officeDocument/2006/relationships/customXml" Target="../ink/ink37.xml"/><Relationship Id="rId40" Type="http://schemas.openxmlformats.org/officeDocument/2006/relationships/customXml" Target="../ink/ink40.xml"/><Relationship Id="rId45" Type="http://schemas.openxmlformats.org/officeDocument/2006/relationships/customXml" Target="../ink/ink45.xml"/><Relationship Id="rId53" Type="http://schemas.openxmlformats.org/officeDocument/2006/relationships/customXml" Target="../ink/ink53.xml"/><Relationship Id="rId58" Type="http://schemas.openxmlformats.org/officeDocument/2006/relationships/customXml" Target="../ink/ink58.xml"/><Relationship Id="rId5" Type="http://schemas.openxmlformats.org/officeDocument/2006/relationships/customXml" Target="../ink/ink6.xml"/><Relationship Id="rId61" Type="http://schemas.openxmlformats.org/officeDocument/2006/relationships/customXml" Target="../ink/ink61.xml"/><Relationship Id="rId19" Type="http://schemas.openxmlformats.org/officeDocument/2006/relationships/customXml" Target="../ink/ink19.xml"/><Relationship Id="rId14" Type="http://schemas.openxmlformats.org/officeDocument/2006/relationships/customXml" Target="../ink/ink14.xml"/><Relationship Id="rId22" Type="http://schemas.openxmlformats.org/officeDocument/2006/relationships/customXml" Target="../ink/ink22.xml"/><Relationship Id="rId27" Type="http://schemas.openxmlformats.org/officeDocument/2006/relationships/customXml" Target="../ink/ink27.xml"/><Relationship Id="rId30" Type="http://schemas.openxmlformats.org/officeDocument/2006/relationships/customXml" Target="../ink/ink30.xml"/><Relationship Id="rId35" Type="http://schemas.openxmlformats.org/officeDocument/2006/relationships/customXml" Target="../ink/ink35.xml"/><Relationship Id="rId43" Type="http://schemas.openxmlformats.org/officeDocument/2006/relationships/customXml" Target="../ink/ink43.xml"/><Relationship Id="rId48" Type="http://schemas.openxmlformats.org/officeDocument/2006/relationships/customXml" Target="../ink/ink48.xml"/><Relationship Id="rId56" Type="http://schemas.openxmlformats.org/officeDocument/2006/relationships/customXml" Target="../ink/ink56.xml"/><Relationship Id="rId64" Type="http://schemas.openxmlformats.org/officeDocument/2006/relationships/customXml" Target="../ink/ink64.xml"/><Relationship Id="rId8" Type="http://schemas.openxmlformats.org/officeDocument/2006/relationships/customXml" Target="../ink/ink9.xml"/><Relationship Id="rId51" Type="http://schemas.openxmlformats.org/officeDocument/2006/relationships/customXml" Target="../ink/ink51.xml"/><Relationship Id="rId3" Type="http://schemas.openxmlformats.org/officeDocument/2006/relationships/customXml" Target="../ink/ink4.xml"/><Relationship Id="rId12" Type="http://schemas.openxmlformats.org/officeDocument/2006/relationships/customXml" Target="../ink/ink12.xml"/><Relationship Id="rId17" Type="http://schemas.openxmlformats.org/officeDocument/2006/relationships/customXml" Target="../ink/ink17.xml"/><Relationship Id="rId25" Type="http://schemas.openxmlformats.org/officeDocument/2006/relationships/customXml" Target="../ink/ink25.xml"/><Relationship Id="rId33" Type="http://schemas.openxmlformats.org/officeDocument/2006/relationships/customXml" Target="../ink/ink33.xml"/><Relationship Id="rId38" Type="http://schemas.openxmlformats.org/officeDocument/2006/relationships/customXml" Target="../ink/ink38.xml"/><Relationship Id="rId46" Type="http://schemas.openxmlformats.org/officeDocument/2006/relationships/customXml" Target="../ink/ink46.xml"/><Relationship Id="rId59" Type="http://schemas.openxmlformats.org/officeDocument/2006/relationships/customXml" Target="../ink/ink59.xml"/><Relationship Id="rId20" Type="http://schemas.openxmlformats.org/officeDocument/2006/relationships/customXml" Target="../ink/ink20.xml"/><Relationship Id="rId41" Type="http://schemas.openxmlformats.org/officeDocument/2006/relationships/customXml" Target="../ink/ink41.xml"/><Relationship Id="rId54" Type="http://schemas.openxmlformats.org/officeDocument/2006/relationships/customXml" Target="../ink/ink54.xml"/><Relationship Id="rId62" Type="http://schemas.openxmlformats.org/officeDocument/2006/relationships/customXml" Target="../ink/ink62.xml"/><Relationship Id="rId1" Type="http://schemas.openxmlformats.org/officeDocument/2006/relationships/customXml" Target="../ink/ink3.xml"/><Relationship Id="rId6" Type="http://schemas.openxmlformats.org/officeDocument/2006/relationships/customXml" Target="../ink/ink7.xml"/><Relationship Id="rId15" Type="http://schemas.openxmlformats.org/officeDocument/2006/relationships/customXml" Target="../ink/ink15.xml"/><Relationship Id="rId23" Type="http://schemas.openxmlformats.org/officeDocument/2006/relationships/customXml" Target="../ink/ink23.xml"/><Relationship Id="rId28" Type="http://schemas.openxmlformats.org/officeDocument/2006/relationships/customXml" Target="../ink/ink28.xml"/><Relationship Id="rId36" Type="http://schemas.openxmlformats.org/officeDocument/2006/relationships/customXml" Target="../ink/ink36.xml"/><Relationship Id="rId49" Type="http://schemas.openxmlformats.org/officeDocument/2006/relationships/customXml" Target="../ink/ink49.xml"/><Relationship Id="rId57" Type="http://schemas.openxmlformats.org/officeDocument/2006/relationships/customXml" Target="../ink/ink57.xml"/><Relationship Id="rId10" Type="http://schemas.openxmlformats.org/officeDocument/2006/relationships/customXml" Target="../ink/ink10.xml"/><Relationship Id="rId31" Type="http://schemas.openxmlformats.org/officeDocument/2006/relationships/customXml" Target="../ink/ink31.xml"/><Relationship Id="rId44" Type="http://schemas.openxmlformats.org/officeDocument/2006/relationships/customXml" Target="../ink/ink44.xml"/><Relationship Id="rId52" Type="http://schemas.openxmlformats.org/officeDocument/2006/relationships/customXml" Target="../ink/ink52.xml"/><Relationship Id="rId60" Type="http://schemas.openxmlformats.org/officeDocument/2006/relationships/customXml" Target="../ink/ink60.xml"/><Relationship Id="rId65" Type="http://schemas.openxmlformats.org/officeDocument/2006/relationships/customXml" Target="../ink/ink65.xml"/><Relationship Id="rId4" Type="http://schemas.openxmlformats.org/officeDocument/2006/relationships/customXml" Target="../ink/ink5.xml"/><Relationship Id="rId9" Type="http://schemas.openxmlformats.org/officeDocument/2006/relationships/image" Target="../media/image3.png"/><Relationship Id="rId13" Type="http://schemas.openxmlformats.org/officeDocument/2006/relationships/customXml" Target="../ink/ink13.xml"/><Relationship Id="rId18" Type="http://schemas.openxmlformats.org/officeDocument/2006/relationships/customXml" Target="../ink/ink18.xml"/><Relationship Id="rId39" Type="http://schemas.openxmlformats.org/officeDocument/2006/relationships/customXml" Target="../ink/ink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199957</xdr:colOff>
      <xdr:row>2</xdr:row>
      <xdr:rowOff>33508</xdr:rowOff>
    </xdr:from>
    <xdr:to>
      <xdr:col>15</xdr:col>
      <xdr:colOff>462063</xdr:colOff>
      <xdr:row>14</xdr:row>
      <xdr:rowOff>88091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A89CED-5D59-FDDE-F142-8F1FDFF79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605960</xdr:colOff>
      <xdr:row>22</xdr:row>
      <xdr:rowOff>159300</xdr:rowOff>
    </xdr:from>
    <xdr:to>
      <xdr:col>5</xdr:col>
      <xdr:colOff>609200</xdr:colOff>
      <xdr:row>22</xdr:row>
      <xdr:rowOff>159660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9405A57-3ADD-7222-96AE-C4A8AAAD59D8}"/>
                </a:ext>
              </a:extLst>
            </xdr14:cNvPr>
            <xdr14:cNvContentPartPr/>
          </xdr14:nvContentPartPr>
          <xdr14:nvPr macro=""/>
          <xdr14:xfrm>
            <a:off x="8048160" y="4388400"/>
            <a:ext cx="324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9405A57-3ADD-7222-96AE-C4A8AAAD59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039160" y="4334760"/>
              <a:ext cx="2088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13</xdr:col>
      <xdr:colOff>605960</xdr:colOff>
      <xdr:row>22</xdr:row>
      <xdr:rowOff>159300</xdr:rowOff>
    </xdr:from>
    <xdr:ext cx="324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3712587-125C-A54B-99FE-B181E9FC4121}"/>
                </a:ext>
              </a:extLst>
            </xdr14:cNvPr>
            <xdr14:cNvContentPartPr/>
          </xdr14:nvContentPartPr>
          <xdr14:nvPr macro=""/>
          <xdr14:xfrm>
            <a:off x="8048160" y="4388400"/>
            <a:ext cx="324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3712587-125C-A54B-99FE-B181E9FC41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039160" y="4334760"/>
              <a:ext cx="20880" cy="10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408319</xdr:colOff>
      <xdr:row>5</xdr:row>
      <xdr:rowOff>105541</xdr:rowOff>
    </xdr:from>
    <xdr:to>
      <xdr:col>5</xdr:col>
      <xdr:colOff>408679</xdr:colOff>
      <xdr:row>5</xdr:row>
      <xdr:rowOff>105901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8CFC990-811E-04CF-1F95-A124AB064618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8CFC990-811E-04CF-1F95-A124AB0646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C6DDEB4-861A-F04F-87D5-C74F2BD55C3B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C6DDEB4-861A-F04F-87D5-C74F2BD55C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281C6E0-292C-A34E-AF66-A3D9AA478AC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281C6E0-292C-A34E-AF66-A3D9AA478A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53CFB86-AC08-4E42-9A8C-B546F4117E35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53CFB86-AC08-4E42-9A8C-B546F4117E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BE2C45F-8FE2-094B-90A5-4973D1C665DF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BE2C45F-8FE2-094B-90A5-4973D1C665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AE63F5CD-D394-7B48-9C4E-DEB793E81D6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AE63F5CD-D394-7B48-9C4E-DEB793E81D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128495D-0051-A640-9BDA-10125AEC057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28495D-0051-A640-9BDA-10125AEC057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CE50454-FBC0-4848-A157-9DD6EEF8EF4A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CE50454-FBC0-4848-A157-9DD6EEF8EF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5F433CD-AC4B-1B4F-A3E3-54A69A36BAE1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5F433CD-AC4B-1B4F-A3E3-54A69A36BA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188E9A9-2F69-0A40-868D-DFB3708A426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188E9A9-2F69-0A40-868D-DFB3708A42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242B3BE-8210-1B4C-ABB3-81A7CBA4154D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242B3BE-8210-1B4C-ABB3-81A7CBA4154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B4AFDFB-8E2A-6343-8793-777DC0D255D8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B4AFDFB-8E2A-6343-8793-777DC0D255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4F36067-9A3C-494F-90F7-0CDA8C75C1A5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4F36067-9A3C-494F-90F7-0CDA8C75C1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3F0E1AC8-628D-A04E-8781-9D83DFE143B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3F0E1AC8-628D-A04E-8781-9D83DFE143B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9D5EF6F-B34A-ED4E-8D57-65D6D745B1B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9D5EF6F-B34A-ED4E-8D57-65D6D745B1B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B815D6D-FD3B-5741-915B-1499BC96236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6B815D6D-FD3B-5741-915B-1499BC96236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08A1D01-55A7-414A-8306-236E393062A1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08A1D01-55A7-414A-8306-236E393062A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51891700-DDAA-3A45-B336-4862AA1624D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51891700-DDAA-3A45-B336-4862AA1624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4FD2877-3950-064A-B414-B1259590FEC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4FD2877-3950-064A-B414-B1259590FEC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E6ED48A7-F63F-D043-8C4A-44ED91E23C8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E6ED48A7-F63F-D043-8C4A-44ED91E23C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0EC0914-7450-4640-8136-BBC9CE88E5FA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20EC0914-7450-4640-8136-BBC9CE88E5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CC2FCC96-B793-494F-859A-63FF9853853A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CC2FCC96-B793-494F-859A-63FF9853853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17514C8-19DF-5847-8109-218E0540278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17514C8-19DF-5847-8109-218E0540278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0A6ECB3-2DF2-6844-B37D-6C0D4D4B713C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60A6ECB3-2DF2-6844-B37D-6C0D4D4B713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3375465-9A5B-3C43-ABAE-73FACB65716B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43375465-9A5B-3C43-ABAE-73FACB65716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23FB86B-9379-E747-9E86-6494A1E3AFC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23FB86B-9379-E747-9E86-6494A1E3AF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69ABFB95-81B9-0E4B-952A-C794BE31D11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69ABFB95-81B9-0E4B-952A-C794BE31D1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FECC704-0E60-7B40-BAA5-1E8DC68AA76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FECC704-0E60-7B40-BAA5-1E8DC68AA76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536A3BBE-9BE2-EE48-B23F-BCB71350E49C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536A3BBE-9BE2-EE48-B23F-BCB71350E49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AA46C5B-C3ED-8248-B404-BC4CAB5BE2B4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AA46C5B-C3ED-8248-B404-BC4CAB5BE2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CAB12AD-6211-B445-8AA4-8A15E2F47C5D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CAB12AD-6211-B445-8AA4-8A15E2F47C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E43578F-646E-C243-BC97-1E5CDA81657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DE43578F-646E-C243-BC97-1E5CDA81657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B24AC56-D971-6049-960A-D654090F8E54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7B24AC56-D971-6049-960A-D654090F8E5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552AB18-51F9-6548-81C3-31D7CA3FEF1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E552AB18-51F9-6548-81C3-31D7CA3FEF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584DB82-B9F1-964E-A206-B78C09973F58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584DB82-B9F1-964E-A206-B78C09973F5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B099224B-51D0-5746-8FCF-041CD38B528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B099224B-51D0-5746-8FCF-041CD38B528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2B09A4E1-7064-7545-9B15-DFE1A70F968E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2B09A4E1-7064-7545-9B15-DFE1A70F968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AA6281A-6C22-5B44-B79F-4AB93EC77AC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AA6281A-6C22-5B44-B79F-4AB93EC77A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9DAE04D1-0DDB-8642-8DEA-D44C43097605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9DAE04D1-0DDB-8642-8DEA-D44C4309760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775D530-3290-7941-8041-11A68AC05F9F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775D530-3290-7941-8041-11A68AC05F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5D4DD8A-5D0C-404B-9497-4E41C5A020E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5D4DD8A-5D0C-404B-9497-4E41C5A020E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2BA9983-7F87-2C4A-895E-C0B121CA06B5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62BA9983-7F87-2C4A-895E-C0B121CA06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6E8D6818-B087-2B4A-9276-88E068757FF4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6E8D6818-B087-2B4A-9276-88E068757F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2BBAA2AB-7148-AF47-A0A9-F0618515397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BBAA2AB-7148-AF47-A0A9-F0618515397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78352C8-C91F-AF41-AA16-A665BE5E67D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78352C8-C91F-AF41-AA16-A665BE5E67D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E7F9D5CC-7CAD-C54A-A8F5-3DF0FC577F9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E7F9D5CC-7CAD-C54A-A8F5-3DF0FC577F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B7E0D30-EA20-BF4A-A8EC-657B81E1F60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B7E0D30-EA20-BF4A-A8EC-657B81E1F6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2B98DA5-9A1B-AD48-A4F6-73FEA30D351B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2B98DA5-9A1B-AD48-A4F6-73FEA30D351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CD535A92-277E-7946-94C7-3B1F17C8AD9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CD535A92-277E-7946-94C7-3B1F17C8AD9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E468355-A82C-5C4D-AA42-CBD2E1C0B3ED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E468355-A82C-5C4D-AA42-CBD2E1C0B3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CEF170B0-D1CF-0248-9FDB-38D5ED0F535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CEF170B0-D1CF-0248-9FDB-38D5ED0F53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BDC5D28-C85B-8241-9622-3EFE1357C3B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BDC5D28-C85B-8241-9622-3EFE1357C3B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669AFB6-2D4F-2E40-84E6-EA76B12E7FFB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669AFB6-2D4F-2E40-84E6-EA76B12E7F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650764B-3EBC-0846-B00B-A1447BCA01D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0650764B-3EBC-0846-B00B-A1447BCA01D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7626735-2354-4646-93B2-97BE32B0C13C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7626735-2354-4646-93B2-97BE32B0C1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BE485AE-508F-624E-91BE-F185D7BACD6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DBE485AE-508F-624E-91BE-F185D7BACD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E0BF309-BFEE-AC4A-8AFE-59DFF8A520BE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3E0BF309-BFEE-AC4A-8AFE-59DFF8A520B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A3DC3F7E-1BAA-0D4B-B755-7CE129189E7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A3DC3F7E-1BAA-0D4B-B755-7CE129189E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1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69A41FC-2B1F-B041-892F-ABA940FB965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69A41FC-2B1F-B041-892F-ABA940FB965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689D816-C43A-0847-A6D4-6E068518094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689D816-C43A-0847-A6D4-6E06851809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3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F679DDF7-3C0E-5F48-8E2F-84CC2A9C01B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F679DDF7-3C0E-5F48-8E2F-84CC2A9C01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50B98C1-EA4B-BB41-99E9-407B76D179BD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50B98C1-EA4B-BB41-99E9-407B76D179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E006F1E3-3EF0-F441-9FF8-9998C5E1510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E006F1E3-3EF0-F441-9FF8-9998C5E1510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47:15.86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8 1 16383,'0'0'0</inkml:trace>
  <inkml:trace contextRef="#ctx0" brushRef="#br0" timeOffset="781">0 1 16383,'0'0'0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54:24.34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8 1 16383,'0'0'0</inkml:trace>
  <inkml:trace contextRef="#ctx0" brushRef="#br0" timeOffset="1">0 1 16383,'0'0'0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47:27.24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815">0 0 16383,'0'0'0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25.58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26.96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43.35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49.59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3.4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6.76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6.77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6.78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0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1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1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1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3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3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3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4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5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6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6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6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8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8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8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8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1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1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2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3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4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4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5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5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5.47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5.48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5.49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5.49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10.31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10.32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10.33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10.3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4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5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5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6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7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7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8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3.75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6.55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6.56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6.57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6.57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1.62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3.88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3.89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3.90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3.91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22:43:49.73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22:43:49.7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22:43:49.75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22:43:49.75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8"/>
  <sheetViews>
    <sheetView zoomScale="84" zoomScaleNormal="100" workbookViewId="0">
      <selection activeCell="H5" sqref="H5"/>
    </sheetView>
  </sheetViews>
  <sheetFormatPr baseColWidth="10" defaultColWidth="8.83203125" defaultRowHeight="15" x14ac:dyDescent="0.2"/>
  <cols>
    <col min="1" max="1" width="9.5" customWidth="1"/>
    <col min="2" max="2" width="7.83203125" customWidth="1"/>
    <col min="3" max="3" width="22.6640625" customWidth="1"/>
    <col min="4" max="4" width="14.1640625" bestFit="1" customWidth="1"/>
    <col min="5" max="5" width="11.6640625" customWidth="1"/>
    <col min="6" max="6" width="12.83203125" customWidth="1"/>
    <col min="7" max="8" width="11" customWidth="1"/>
    <col min="10" max="11" width="10.6640625" customWidth="1"/>
    <col min="12" max="12" width="3.33203125" customWidth="1"/>
    <col min="13" max="17" width="10.6640625" customWidth="1"/>
    <col min="18" max="18" width="11.6640625" customWidth="1"/>
    <col min="21" max="21" width="11" customWidth="1"/>
  </cols>
  <sheetData>
    <row r="1" spans="1:28" ht="29" x14ac:dyDescent="0.3">
      <c r="B1" s="86" t="s">
        <v>86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3" spans="1:28" ht="19" x14ac:dyDescent="0.2">
      <c r="B3" s="137" t="s">
        <v>101</v>
      </c>
      <c r="C3" s="138"/>
      <c r="D3" s="138"/>
      <c r="E3" s="138"/>
      <c r="F3" s="138"/>
      <c r="G3" s="139"/>
    </row>
    <row r="4" spans="1:28" ht="23.25" customHeight="1" x14ac:dyDescent="0.3">
      <c r="B4" s="140" t="s">
        <v>102</v>
      </c>
      <c r="C4" s="141"/>
      <c r="D4" s="141" t="s">
        <v>103</v>
      </c>
      <c r="E4" s="141"/>
      <c r="F4" s="146">
        <v>219</v>
      </c>
      <c r="G4" s="147"/>
    </row>
    <row r="5" spans="1:28" ht="24" x14ac:dyDescent="0.3">
      <c r="B5" s="142"/>
      <c r="C5" s="143"/>
      <c r="D5" s="145" t="s">
        <v>104</v>
      </c>
      <c r="E5" s="148"/>
      <c r="F5" s="149">
        <f>DCF!J24/1000</f>
        <v>253.29994210743249</v>
      </c>
      <c r="G5" s="150"/>
    </row>
    <row r="6" spans="1:28" ht="24" x14ac:dyDescent="0.3">
      <c r="B6" s="144"/>
      <c r="C6" s="145"/>
      <c r="D6" s="151" t="s">
        <v>106</v>
      </c>
      <c r="E6" s="151"/>
      <c r="F6" s="152">
        <f>F5/F4 -1</f>
        <v>0.15662074021658667</v>
      </c>
      <c r="G6" s="153"/>
    </row>
    <row r="7" spans="1:28" ht="16" customHeight="1" x14ac:dyDescent="0.2">
      <c r="D7" s="132" t="s">
        <v>159</v>
      </c>
      <c r="E7" s="132"/>
      <c r="F7" s="132"/>
      <c r="G7" s="132"/>
      <c r="H7" s="132"/>
    </row>
    <row r="8" spans="1:28" x14ac:dyDescent="0.2">
      <c r="C8" s="89">
        <f>DCF!B30/1000</f>
        <v>253299.94210743249</v>
      </c>
      <c r="D8" s="88">
        <v>0.08</v>
      </c>
      <c r="E8" s="88">
        <v>0.08</v>
      </c>
      <c r="F8" s="88">
        <v>0.09</v>
      </c>
      <c r="G8" s="88">
        <v>9.5000000000000001E-2</v>
      </c>
      <c r="H8" s="88">
        <v>0.1</v>
      </c>
    </row>
    <row r="9" spans="1:28" x14ac:dyDescent="0.2">
      <c r="B9" s="133" t="s">
        <v>146</v>
      </c>
      <c r="C9" s="84">
        <v>0.02</v>
      </c>
      <c r="D9" s="106">
        <v>310763.04803629598</v>
      </c>
      <c r="E9" s="107">
        <v>310763.04803629557</v>
      </c>
      <c r="F9" s="107">
        <v>262312.91773012152</v>
      </c>
      <c r="G9" s="107">
        <v>242985.24818143866</v>
      </c>
      <c r="H9" s="108">
        <v>226105.23179284931</v>
      </c>
    </row>
    <row r="10" spans="1:28" x14ac:dyDescent="0.2">
      <c r="B10" s="133"/>
      <c r="C10" s="84">
        <v>2.5000000000000001E-2</v>
      </c>
      <c r="D10" s="109">
        <v>335594.62192386528</v>
      </c>
      <c r="E10" s="110">
        <v>335594.62192386528</v>
      </c>
      <c r="F10" s="110">
        <v>279670.76331248268</v>
      </c>
      <c r="G10" s="110">
        <v>257755.82408735374</v>
      </c>
      <c r="H10" s="111">
        <v>238796.0966063214</v>
      </c>
    </row>
    <row r="11" spans="1:28" x14ac:dyDescent="0.2">
      <c r="B11" s="133"/>
      <c r="C11" s="84">
        <v>2.75E-2</v>
      </c>
      <c r="D11" s="109">
        <v>349784.09271676233</v>
      </c>
      <c r="E11" s="110">
        <v>349784.09271676233</v>
      </c>
      <c r="F11" s="110">
        <v>289391.15683860506</v>
      </c>
      <c r="G11" s="110">
        <v>265961.69959063997</v>
      </c>
      <c r="H11" s="111">
        <v>245797.95305513366</v>
      </c>
    </row>
    <row r="12" spans="1:28" x14ac:dyDescent="0.2">
      <c r="B12" s="133"/>
      <c r="C12" s="84">
        <v>0.03</v>
      </c>
      <c r="D12" s="109">
        <v>365392.51058894896</v>
      </c>
      <c r="E12" s="110">
        <v>365392.51058894896</v>
      </c>
      <c r="F12" s="110">
        <v>299921.58315857075</v>
      </c>
      <c r="G12" s="110">
        <v>274798.79628648661</v>
      </c>
      <c r="H12" s="111">
        <v>253299.94210743249</v>
      </c>
    </row>
    <row r="13" spans="1:28" x14ac:dyDescent="0.2">
      <c r="B13" s="133"/>
      <c r="C13" s="84">
        <v>3.5000000000000003E-2</v>
      </c>
      <c r="D13" s="112">
        <v>401812.15229071787</v>
      </c>
      <c r="E13" s="113">
        <v>401812.15229071787</v>
      </c>
      <c r="F13" s="113">
        <v>323854.37024940213</v>
      </c>
      <c r="G13" s="113">
        <v>294682.26385214168</v>
      </c>
      <c r="H13" s="114">
        <v>270035.14845486829</v>
      </c>
    </row>
    <row r="16" spans="1:28" ht="29" x14ac:dyDescent="0.35">
      <c r="A16" s="134" t="s">
        <v>160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24"/>
      <c r="Y16" s="124"/>
      <c r="Z16" s="124"/>
    </row>
    <row r="17" spans="3:26" x14ac:dyDescent="0.2">
      <c r="C17" s="126" t="s">
        <v>161</v>
      </c>
      <c r="D17" s="127"/>
      <c r="E17" s="127"/>
      <c r="F17" s="127"/>
      <c r="G17" s="127"/>
      <c r="H17" s="128"/>
      <c r="J17" s="126" t="s">
        <v>172</v>
      </c>
      <c r="K17" s="127"/>
      <c r="L17" s="127"/>
      <c r="M17" s="127"/>
      <c r="N17" s="127"/>
      <c r="O17" s="127"/>
      <c r="P17" s="127"/>
      <c r="Q17" s="127"/>
      <c r="R17" s="128"/>
      <c r="T17" s="125"/>
      <c r="U17" s="127" t="s">
        <v>187</v>
      </c>
      <c r="V17" s="127"/>
      <c r="W17" s="127"/>
      <c r="X17" s="127"/>
      <c r="Y17" s="127"/>
      <c r="Z17" s="128"/>
    </row>
    <row r="18" spans="3:26" x14ac:dyDescent="0.2">
      <c r="C18" s="37"/>
      <c r="D18" s="129" t="s">
        <v>162</v>
      </c>
      <c r="E18" s="129"/>
      <c r="F18" s="129"/>
      <c r="G18" s="129"/>
      <c r="H18" s="135"/>
      <c r="J18" s="85"/>
      <c r="K18" s="42"/>
      <c r="L18" s="42"/>
      <c r="M18" s="130" t="s">
        <v>58</v>
      </c>
      <c r="N18" s="130"/>
      <c r="O18" s="130"/>
      <c r="P18" s="130"/>
      <c r="Q18" s="130"/>
      <c r="R18" s="131"/>
      <c r="T18" s="37"/>
      <c r="U18" s="136" t="s">
        <v>162</v>
      </c>
      <c r="V18" s="130"/>
      <c r="W18" s="130"/>
      <c r="X18" s="130"/>
      <c r="Y18" s="130"/>
      <c r="Z18" s="131"/>
    </row>
    <row r="19" spans="3:26" x14ac:dyDescent="0.2">
      <c r="C19" s="37"/>
      <c r="D19" s="115">
        <v>2024</v>
      </c>
      <c r="E19" s="115">
        <v>2025</v>
      </c>
      <c r="F19" s="115">
        <v>2026</v>
      </c>
      <c r="G19" s="115">
        <v>2027</v>
      </c>
      <c r="H19" s="116">
        <v>2028</v>
      </c>
      <c r="J19" s="37"/>
      <c r="M19" s="115">
        <v>2023</v>
      </c>
      <c r="N19" s="115">
        <v>2024</v>
      </c>
      <c r="O19" s="115">
        <v>2025</v>
      </c>
      <c r="P19" s="115">
        <v>2026</v>
      </c>
      <c r="Q19" s="115">
        <v>2027</v>
      </c>
      <c r="R19" s="116">
        <v>2028</v>
      </c>
      <c r="T19" s="37"/>
      <c r="U19" s="2"/>
      <c r="V19" s="115">
        <v>2024</v>
      </c>
      <c r="W19" s="115">
        <v>2025</v>
      </c>
      <c r="X19" s="115">
        <v>2026</v>
      </c>
      <c r="Y19" s="115">
        <v>2027</v>
      </c>
      <c r="Z19" s="116">
        <v>2028</v>
      </c>
    </row>
    <row r="20" spans="3:26" x14ac:dyDescent="0.2">
      <c r="C20" s="37" t="s">
        <v>163</v>
      </c>
      <c r="D20" s="117">
        <f>IS!E4/1000</f>
        <v>38107.32561</v>
      </c>
      <c r="E20" s="117">
        <f>IS!F4/1000</f>
        <v>43061.277939299995</v>
      </c>
      <c r="F20" s="117">
        <f>IS!G4/1000</f>
        <v>48874.550461105493</v>
      </c>
      <c r="G20" s="117">
        <f>IS!H4/1000</f>
        <v>55472.61477335474</v>
      </c>
      <c r="H20" s="111">
        <f>IS!I4/1000</f>
        <v>63238.780841624408</v>
      </c>
      <c r="J20" s="37" t="str">
        <f>BS!A4</f>
        <v>Cash and cash equivalents</v>
      </c>
      <c r="M20" s="117">
        <f>BS!E4/1000</f>
        <v>7116.9129999999996</v>
      </c>
      <c r="N20" s="117">
        <f>BS!F4/1000</f>
        <v>11468.48408794336</v>
      </c>
      <c r="O20" s="117">
        <f>BS!G4/1000</f>
        <v>18804.032051635018</v>
      </c>
      <c r="P20" s="117">
        <f>BS!H4/1000</f>
        <v>29654.19132613629</v>
      </c>
      <c r="Q20" s="117">
        <f>BS!I4/1000</f>
        <v>44805.316151170824</v>
      </c>
      <c r="R20" s="111">
        <f>BS!J4/1000</f>
        <v>64823.762308231977</v>
      </c>
      <c r="T20" s="109" t="s">
        <v>179</v>
      </c>
      <c r="V20" s="117">
        <f>BS!F7/BS!F18</f>
        <v>1.4689069255456904</v>
      </c>
      <c r="W20" s="117">
        <f>BS!G7/BS!G18</f>
        <v>1.997161171269386</v>
      </c>
      <c r="X20" s="117">
        <f>BS!H7/BS!H18</f>
        <v>2.6618766623952768</v>
      </c>
      <c r="Y20" s="117">
        <f>BS!I7/BS!I18</f>
        <v>3.4503384569635256</v>
      </c>
      <c r="Z20" s="111">
        <f>BS!J7/BS!J18</f>
        <v>4.3071013591432914</v>
      </c>
    </row>
    <row r="21" spans="3:26" x14ac:dyDescent="0.2">
      <c r="C21" s="37"/>
      <c r="D21" s="117"/>
      <c r="E21" s="117"/>
      <c r="F21" s="117"/>
      <c r="G21" s="117"/>
      <c r="H21" s="111"/>
      <c r="J21" s="37" t="s">
        <v>173</v>
      </c>
      <c r="M21" s="117">
        <f>BS!E11/1000</f>
        <v>48731.991999999998</v>
      </c>
      <c r="N21" s="117">
        <f>BS!F11/1000</f>
        <v>56022.67514171268</v>
      </c>
      <c r="O21" s="117">
        <f>BS!G11/1000</f>
        <v>65268.060595986084</v>
      </c>
      <c r="P21" s="117">
        <f>BS!H11/1000</f>
        <v>76972.415655750694</v>
      </c>
      <c r="Q21" s="117">
        <f>BS!I11/1000</f>
        <v>91619.248551199766</v>
      </c>
      <c r="R21" s="111">
        <f>BS!J11/1000</f>
        <v>109729.82795950309</v>
      </c>
      <c r="T21" s="109"/>
      <c r="V21" s="117"/>
      <c r="W21" s="117"/>
      <c r="X21" s="117"/>
      <c r="Y21" s="117"/>
      <c r="Z21" s="111"/>
    </row>
    <row r="22" spans="3:26" x14ac:dyDescent="0.2">
      <c r="C22" s="37" t="s">
        <v>164</v>
      </c>
      <c r="D22" s="117">
        <f>IS!E9/1000</f>
        <v>8241.7779065092018</v>
      </c>
      <c r="E22" s="117">
        <f>IS!F9/1000</f>
        <v>10060.860141855392</v>
      </c>
      <c r="F22" s="117">
        <f>IS!G9/1000</f>
        <v>12250.874726935879</v>
      </c>
      <c r="G22" s="117">
        <f>IS!H9/1000</f>
        <v>14835.078169071421</v>
      </c>
      <c r="H22" s="111">
        <f>IS!I9/1000</f>
        <v>17893.956116192719</v>
      </c>
      <c r="J22" s="37"/>
      <c r="N22" s="117"/>
      <c r="O22" s="117"/>
      <c r="P22" s="117"/>
      <c r="Q22" s="117"/>
      <c r="R22" s="111"/>
      <c r="T22" s="37" t="s">
        <v>180</v>
      </c>
      <c r="V22" s="121">
        <f>IS!E9/IS!E4</f>
        <v>0.21627804561405437</v>
      </c>
      <c r="W22" s="121">
        <f>IS!F9/IS!F4</f>
        <v>0.23364053793381084</v>
      </c>
      <c r="X22" s="121">
        <f>IS!G9/IS!G4</f>
        <v>0.25065958891397189</v>
      </c>
      <c r="Y22" s="121">
        <f>IS!H9/IS!H4</f>
        <v>0.26743066339460136</v>
      </c>
      <c r="Z22" s="122">
        <f>IS!I9/IS!I4</f>
        <v>0.2829585877217724</v>
      </c>
    </row>
    <row r="23" spans="3:26" x14ac:dyDescent="0.2">
      <c r="C23" s="37" t="s">
        <v>165</v>
      </c>
      <c r="D23" s="117">
        <f>IS!E15/1000</f>
        <v>6858.776601712676</v>
      </c>
      <c r="E23" s="117">
        <f>IS!F15/1000</f>
        <v>8574.9355450734238</v>
      </c>
      <c r="F23" s="117">
        <f>IS!G15/1000</f>
        <v>10678.432386672597</v>
      </c>
      <c r="G23" s="117">
        <f>IS!H15/1000</f>
        <v>13295.271505428396</v>
      </c>
      <c r="H23" s="111">
        <f>IS!I15/1000</f>
        <v>16278.564111583981</v>
      </c>
      <c r="J23" s="37"/>
      <c r="R23" s="38"/>
      <c r="T23" s="37" t="s">
        <v>181</v>
      </c>
      <c r="V23" s="121">
        <f>IS!E15/IS!E4</f>
        <v>0.17998577680068994</v>
      </c>
      <c r="W23" s="121">
        <f>IS!F15/IS!F4</f>
        <v>0.19913332709634901</v>
      </c>
      <c r="X23" s="121">
        <f>IS!G15/IS!G4</f>
        <v>0.21848655969062106</v>
      </c>
      <c r="Y23" s="121">
        <f>IS!H15/IS!H4</f>
        <v>0.23967270264344087</v>
      </c>
      <c r="Z23" s="122">
        <f>IS!I15/IS!I4</f>
        <v>0.2574142621811783</v>
      </c>
    </row>
    <row r="24" spans="3:26" x14ac:dyDescent="0.2">
      <c r="C24" s="37"/>
      <c r="H24" s="38"/>
      <c r="J24" s="37" t="s">
        <v>178</v>
      </c>
      <c r="M24" s="117">
        <f>BS!E8/1000</f>
        <v>31658.056</v>
      </c>
      <c r="N24" s="117">
        <f>BS!F8/1000</f>
        <v>33466.798409999996</v>
      </c>
      <c r="O24" s="117">
        <f>BS!G8/1000</f>
        <v>34060.240212799996</v>
      </c>
      <c r="P24" s="117">
        <f>BS!H8/1000</f>
        <v>33341.157359823992</v>
      </c>
      <c r="Q24" s="117">
        <f>BS!I8/1000</f>
        <v>31027.357050080151</v>
      </c>
      <c r="R24" s="111">
        <f>BS!J8/1000</f>
        <v>26975.31471245936</v>
      </c>
      <c r="T24" s="37" t="s">
        <v>182</v>
      </c>
      <c r="U24" s="117"/>
      <c r="V24" s="121">
        <f>Summary!D25/Summary!D20</f>
        <v>0.64286920823200422</v>
      </c>
      <c r="W24" s="121">
        <f>Summary!E25/Summary!E20</f>
        <v>0.64348372682971844</v>
      </c>
      <c r="X24" s="121">
        <f>Summary!F25/Summary!F20</f>
        <v>0.64399868559380302</v>
      </c>
      <c r="Y24" s="121">
        <f>Summary!G25/Summary!G20</f>
        <v>0.65123474712544416</v>
      </c>
      <c r="Z24" s="122">
        <f>Summary!H25/Summary!H20</f>
        <v>0.65390731747550424</v>
      </c>
    </row>
    <row r="25" spans="3:26" x14ac:dyDescent="0.2">
      <c r="C25" s="37" t="s">
        <v>87</v>
      </c>
      <c r="D25" s="117">
        <f>(IS!E15-IS!E11-IS!E14+IS!E18+IS!E20+IS!E19)/1000</f>
        <v>24498.026242739877</v>
      </c>
      <c r="E25" s="117">
        <f>(IS!F15-IS!F11-IS!F14+IS!F18+IS!F20+IS!F19)/1000</f>
        <v>27709.231610431099</v>
      </c>
      <c r="F25" s="117">
        <f>(IS!G15-IS!G11-IS!G14+IS!G18+IS!G20+IS!G19)/1000</f>
        <v>31475.146255939937</v>
      </c>
      <c r="G25" s="117">
        <f>(IS!H15-IS!H11-IS!H14+IS!H18+IS!H20+IS!H19)/1000</f>
        <v>36125.694254312853</v>
      </c>
      <c r="H25" s="111">
        <f>(IS!I15-IS!I11-IS!I14+IS!I18+IS!I20+IS!I19)/1000</f>
        <v>41352.301540567925</v>
      </c>
      <c r="J25" s="37" t="s">
        <v>175</v>
      </c>
      <c r="M25" s="117">
        <f>BS!E13/1000</f>
        <v>4466.47</v>
      </c>
      <c r="N25" s="117">
        <f>BS!F13/1000</f>
        <v>5047.1111000000001</v>
      </c>
      <c r="O25" s="117">
        <f>BS!G13/1000</f>
        <v>5703.2355429999989</v>
      </c>
      <c r="P25" s="117">
        <f>BS!H13/1000</f>
        <v>6473.1723413049986</v>
      </c>
      <c r="Q25" s="117">
        <f>BS!I13/1000</f>
        <v>7347.050607381173</v>
      </c>
      <c r="R25" s="111">
        <f>BS!J13/1000</f>
        <v>8375.6376924145388</v>
      </c>
      <c r="T25" s="37"/>
      <c r="U25" s="117"/>
      <c r="V25" s="117"/>
      <c r="W25" s="117"/>
      <c r="X25" s="117"/>
      <c r="Y25" s="117"/>
      <c r="Z25" s="111"/>
    </row>
    <row r="26" spans="3:26" x14ac:dyDescent="0.2">
      <c r="C26" s="39"/>
      <c r="D26" s="40"/>
      <c r="E26" s="40"/>
      <c r="F26" s="40"/>
      <c r="G26" s="40"/>
      <c r="H26" s="41"/>
      <c r="J26" s="37" t="s">
        <v>31</v>
      </c>
      <c r="M26" s="117">
        <f>BS!E20/1000</f>
        <v>14143.416999999999</v>
      </c>
      <c r="N26" s="117">
        <f>BS!F20/1000</f>
        <v>14139.416999999999</v>
      </c>
      <c r="O26" s="117">
        <f>BS!G20/1000</f>
        <v>14135.416999999999</v>
      </c>
      <c r="P26" s="117">
        <f>BS!H20/1000</f>
        <v>14131.416999999999</v>
      </c>
      <c r="Q26" s="117">
        <f>BS!I20/1000</f>
        <v>14127.416999999999</v>
      </c>
      <c r="R26" s="111">
        <f>BS!J20/1000</f>
        <v>14123.416999999999</v>
      </c>
      <c r="T26" s="37" t="s">
        <v>183</v>
      </c>
      <c r="U26" s="117"/>
      <c r="V26" s="120">
        <f>D23/AVERAGE(M32:N32)</f>
        <v>0.2937172850514545</v>
      </c>
      <c r="W26" s="120">
        <f>E23/AVERAGE(N32:O32)</f>
        <v>0.28832341566272091</v>
      </c>
      <c r="X26" s="120">
        <f t="shared" ref="X26:Z26" si="0">F23/AVERAGE(O32:P32)</f>
        <v>0.28065411216059449</v>
      </c>
      <c r="Y26" s="120">
        <f t="shared" si="0"/>
        <v>0.2728620166889893</v>
      </c>
      <c r="Z26" s="123">
        <f t="shared" si="0"/>
        <v>0.26166506152509011</v>
      </c>
    </row>
    <row r="27" spans="3:26" x14ac:dyDescent="0.2">
      <c r="C27" s="126" t="s">
        <v>166</v>
      </c>
      <c r="D27" s="127"/>
      <c r="E27" s="127"/>
      <c r="F27" s="127"/>
      <c r="G27" s="127"/>
      <c r="H27" s="128"/>
      <c r="J27" s="37" t="s">
        <v>174</v>
      </c>
      <c r="M27" s="117">
        <f>BS!E22/1000</f>
        <v>28143.679</v>
      </c>
      <c r="N27" s="117">
        <f>BS!F22/1000</f>
        <v>29907.733340000002</v>
      </c>
      <c r="O27" s="117">
        <f>BS!G22/1000</f>
        <v>31901.634744199993</v>
      </c>
      <c r="P27" s="117">
        <f>BS!H22/1000</f>
        <v>34242.095199666997</v>
      </c>
      <c r="Q27" s="117">
        <f>BS!I22/1000</f>
        <v>36899.057816622044</v>
      </c>
      <c r="R27" s="111">
        <f>BS!J22/1000</f>
        <v>40027.109370949125</v>
      </c>
      <c r="T27" s="37" t="s">
        <v>184</v>
      </c>
      <c r="U27" s="117"/>
      <c r="V27" s="120">
        <f>D23/AVERAGE(M21:N21)</f>
        <v>0.13094932739243181</v>
      </c>
      <c r="W27" s="120">
        <f t="shared" ref="W27:Z27" si="1">E23/AVERAGE(N21:O21)</f>
        <v>0.14139473213547704</v>
      </c>
      <c r="X27" s="120">
        <f t="shared" si="1"/>
        <v>0.15014618437826288</v>
      </c>
      <c r="Y27" s="120">
        <f t="shared" si="1"/>
        <v>0.15772157618787272</v>
      </c>
      <c r="Z27" s="123">
        <f t="shared" si="1"/>
        <v>0.16169494684241756</v>
      </c>
    </row>
    <row r="28" spans="3:26" x14ac:dyDescent="0.2">
      <c r="C28" s="37"/>
      <c r="D28" s="129" t="s">
        <v>162</v>
      </c>
      <c r="E28" s="129"/>
      <c r="F28" s="129"/>
      <c r="G28" s="129"/>
      <c r="H28" s="129"/>
      <c r="J28" s="37"/>
      <c r="N28" s="117"/>
      <c r="O28" s="117"/>
      <c r="P28" s="117"/>
      <c r="Q28" s="117"/>
      <c r="R28" s="111"/>
      <c r="T28" s="37"/>
      <c r="V28" s="117"/>
      <c r="W28" s="117"/>
      <c r="X28" s="117"/>
      <c r="Y28" s="117"/>
      <c r="Z28" s="111"/>
    </row>
    <row r="29" spans="3:26" x14ac:dyDescent="0.2">
      <c r="C29" s="37"/>
      <c r="D29" s="115">
        <v>2024</v>
      </c>
      <c r="E29" s="115">
        <v>2025</v>
      </c>
      <c r="F29" s="115">
        <v>2026</v>
      </c>
      <c r="G29" s="115">
        <v>2027</v>
      </c>
      <c r="H29" s="115">
        <v>2028</v>
      </c>
      <c r="J29" s="37" t="s">
        <v>176</v>
      </c>
      <c r="M29" s="117">
        <f>(BS!E7-BS!E18)/1000</f>
        <v>1057.4780000000001</v>
      </c>
      <c r="N29" s="117">
        <f>(BS!F7-BS!F18)/1000</f>
        <v>4670.57576794336</v>
      </c>
      <c r="O29" s="117">
        <f>(BS!G7-BS!G18)/1000</f>
        <v>11171.64888003502</v>
      </c>
      <c r="P29" s="117">
        <f>(BS!H7-BS!H18)/1000</f>
        <v>21042.584011370294</v>
      </c>
      <c r="Q29" s="117">
        <f>(BS!I7-BS!I18)/1000</f>
        <v>35082.289433911421</v>
      </c>
      <c r="R29" s="111">
        <f>(BS!J7-BS!J18)/1000</f>
        <v>53792.55379055626</v>
      </c>
      <c r="T29" s="37" t="s">
        <v>185</v>
      </c>
      <c r="V29" s="120">
        <f>IS!E4/IS!D4 -1</f>
        <v>0.12999999999999989</v>
      </c>
      <c r="W29" s="120">
        <f>IS!F4/IS!E4 -1</f>
        <v>0.12999999999999989</v>
      </c>
      <c r="X29" s="120">
        <f>IS!G4/IS!F4 -1</f>
        <v>0.13500000000000001</v>
      </c>
      <c r="Y29" s="120">
        <f>IS!H4/IS!G4 -1</f>
        <v>0.13500000000000001</v>
      </c>
      <c r="Z29" s="123">
        <f>IS!I4/IS!H4 -1</f>
        <v>0.14000000000000012</v>
      </c>
    </row>
    <row r="30" spans="3:26" x14ac:dyDescent="0.2">
      <c r="C30" s="37" t="s">
        <v>167</v>
      </c>
      <c r="D30" s="117">
        <f>'SCF forecast'!B17/1000</f>
        <v>6429.4348479433511</v>
      </c>
      <c r="E30" s="117">
        <f>'SCF forecast'!C17/1000</f>
        <v>9464.6140124916801</v>
      </c>
      <c r="F30" s="117">
        <f>'SCF forecast'!D17/1000</f>
        <v>13039.30923988926</v>
      </c>
      <c r="G30" s="117">
        <f>'SCF forecast'!E17/1000</f>
        <v>17408.470035749906</v>
      </c>
      <c r="H30" s="117">
        <f>'SCF forecast'!F17/1000</f>
        <v>22356.059697276698</v>
      </c>
      <c r="J30" s="37"/>
      <c r="R30" s="38"/>
      <c r="T30" s="37" t="s">
        <v>186</v>
      </c>
      <c r="W30" s="120">
        <f>E37/D37 -1</f>
        <v>0.45000558187074824</v>
      </c>
      <c r="X30" s="120">
        <f t="shared" ref="X30:Z30" si="2">F37/E37 -1</f>
        <v>0.36553896033097799</v>
      </c>
      <c r="Y30" s="120">
        <f t="shared" si="2"/>
        <v>0.32758343759829334</v>
      </c>
      <c r="Z30" s="123">
        <f t="shared" si="2"/>
        <v>0.2792454386710681</v>
      </c>
    </row>
    <row r="31" spans="3:26" x14ac:dyDescent="0.2">
      <c r="C31" s="37"/>
      <c r="D31" s="117"/>
      <c r="E31" s="117"/>
      <c r="F31" s="117"/>
      <c r="G31" s="117"/>
      <c r="H31" s="117"/>
      <c r="J31" s="37"/>
      <c r="R31" s="38"/>
      <c r="T31" s="37"/>
      <c r="Z31" s="38"/>
    </row>
    <row r="32" spans="3:26" x14ac:dyDescent="0.2">
      <c r="C32" s="37" t="s">
        <v>169</v>
      </c>
      <c r="D32" s="117">
        <f>'SCF forecast'!B16/1000</f>
        <v>-17000</v>
      </c>
      <c r="E32" s="117">
        <f>'SCF forecast'!C16/1000</f>
        <v>-17000</v>
      </c>
      <c r="F32" s="117">
        <f>'SCF forecast'!D16/1000</f>
        <v>-17000</v>
      </c>
      <c r="G32" s="117">
        <f>'SCF forecast'!E16/1000</f>
        <v>-17000</v>
      </c>
      <c r="H32" s="117">
        <f>'SCF forecast'!F16/1000</f>
        <v>-17000</v>
      </c>
      <c r="J32" s="37" t="s">
        <v>177</v>
      </c>
      <c r="M32" s="117">
        <f>BS!E28/1000</f>
        <v>20588.312999999998</v>
      </c>
      <c r="N32" s="117">
        <f>BS!F28/1000</f>
        <v>26114.941801712674</v>
      </c>
      <c r="O32" s="117">
        <f>BS!G28/1000</f>
        <v>33366.425851786094</v>
      </c>
      <c r="P32" s="117">
        <f>BS!H28/1000</f>
        <v>42730.320456083689</v>
      </c>
      <c r="Q32" s="117">
        <f>BS!I28/1000</f>
        <v>54720.190734577714</v>
      </c>
      <c r="R32" s="111">
        <f>BS!J28/1000</f>
        <v>69702.718588553966</v>
      </c>
      <c r="T32" s="37"/>
      <c r="Z32" s="38"/>
    </row>
    <row r="33" spans="3:26" x14ac:dyDescent="0.2">
      <c r="C33" s="37" t="s">
        <v>143</v>
      </c>
      <c r="D33" s="117">
        <f>'SCF forecast'!B18/1000</f>
        <v>-393.86375999999996</v>
      </c>
      <c r="E33" s="117">
        <f>'SCF forecast'!C18/1000</f>
        <v>-445.06604879999992</v>
      </c>
      <c r="F33" s="117">
        <f>'SCF forecast'!D18/1000</f>
        <v>-505.14996538799994</v>
      </c>
      <c r="G33" s="117">
        <f>'SCF forecast'!E18/1000</f>
        <v>-573.34521071537995</v>
      </c>
      <c r="H33" s="117">
        <f>'SCF forecast'!F18/1000</f>
        <v>-653.61354021553325</v>
      </c>
      <c r="J33" s="39"/>
      <c r="K33" s="40"/>
      <c r="L33" s="40"/>
      <c r="M33" s="40"/>
      <c r="N33" s="40"/>
      <c r="O33" s="40"/>
      <c r="P33" s="40"/>
      <c r="Q33" s="40"/>
      <c r="R33" s="41"/>
      <c r="T33" s="39"/>
      <c r="U33" s="40"/>
      <c r="V33" s="40"/>
      <c r="W33" s="40"/>
      <c r="X33" s="40"/>
      <c r="Y33" s="40"/>
      <c r="Z33" s="41"/>
    </row>
    <row r="34" spans="3:26" x14ac:dyDescent="0.2">
      <c r="C34" s="37" t="s">
        <v>168</v>
      </c>
      <c r="D34" s="117">
        <f>'SCF forecast'!B23/1000</f>
        <v>-1680</v>
      </c>
      <c r="E34" s="117">
        <f>'SCF forecast'!C23/1000</f>
        <v>-1680</v>
      </c>
      <c r="F34" s="117">
        <f>'SCF forecast'!D23/1000</f>
        <v>-1680</v>
      </c>
      <c r="G34" s="117">
        <f>'SCF forecast'!E23/1000</f>
        <v>-1680</v>
      </c>
      <c r="H34" s="117">
        <f>'SCF forecast'!F23/1000</f>
        <v>-1680</v>
      </c>
    </row>
    <row r="35" spans="3:26" x14ac:dyDescent="0.2">
      <c r="C35" s="37"/>
      <c r="D35" s="117"/>
      <c r="E35" s="117"/>
      <c r="F35" s="117"/>
      <c r="G35" s="117"/>
      <c r="H35" s="111"/>
    </row>
    <row r="36" spans="3:26" x14ac:dyDescent="0.2">
      <c r="C36" s="37" t="s">
        <v>170</v>
      </c>
      <c r="D36" s="119">
        <f>Summary!D30+Summary!D33</f>
        <v>6035.5710879433509</v>
      </c>
      <c r="E36" s="119">
        <f>Summary!E30+Summary!E33</f>
        <v>9019.5479636916807</v>
      </c>
      <c r="F36" s="119">
        <f>Summary!F30+Summary!F33</f>
        <v>12534.15927450126</v>
      </c>
      <c r="G36" s="119">
        <f>Summary!G30+Summary!G33</f>
        <v>16835.124825034527</v>
      </c>
      <c r="H36" s="119">
        <f>Summary!H30+Summary!H33</f>
        <v>21702.446157061164</v>
      </c>
    </row>
    <row r="37" spans="3:26" x14ac:dyDescent="0.2">
      <c r="C37" s="37" t="s">
        <v>171</v>
      </c>
      <c r="D37" s="117">
        <f>DCF!C14/1000</f>
        <v>6630.6137846587562</v>
      </c>
      <c r="E37" s="117">
        <f>DCF!D14/1000</f>
        <v>9614.4269989843233</v>
      </c>
      <c r="F37" s="117">
        <f>DCF!E14/1000</f>
        <v>13128.874648371137</v>
      </c>
      <c r="G37" s="117">
        <f>DCF!F14/1000</f>
        <v>17429.676537481639</v>
      </c>
      <c r="H37" s="117">
        <f>DCF!G14/1000</f>
        <v>22296.834208085522</v>
      </c>
    </row>
    <row r="38" spans="3:26" x14ac:dyDescent="0.2">
      <c r="C38" s="39"/>
      <c r="D38" s="40"/>
      <c r="E38" s="40"/>
      <c r="F38" s="40"/>
      <c r="G38" s="40"/>
      <c r="H38" s="41"/>
    </row>
  </sheetData>
  <mergeCells count="19">
    <mergeCell ref="B3:G3"/>
    <mergeCell ref="B4:C6"/>
    <mergeCell ref="D4:E4"/>
    <mergeCell ref="F4:G4"/>
    <mergeCell ref="D5:E5"/>
    <mergeCell ref="F5:G5"/>
    <mergeCell ref="D6:E6"/>
    <mergeCell ref="F6:G6"/>
    <mergeCell ref="B9:B13"/>
    <mergeCell ref="A16:W16"/>
    <mergeCell ref="D18:H18"/>
    <mergeCell ref="C17:H17"/>
    <mergeCell ref="U17:Z17"/>
    <mergeCell ref="U18:Z18"/>
    <mergeCell ref="C27:H27"/>
    <mergeCell ref="D28:H28"/>
    <mergeCell ref="J17:R17"/>
    <mergeCell ref="M18:R18"/>
    <mergeCell ref="D7:H7"/>
  </mergeCells>
  <conditionalFormatting sqref="D9:H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B41" sqref="B41"/>
    </sheetView>
  </sheetViews>
  <sheetFormatPr baseColWidth="10" defaultColWidth="8.83203125" defaultRowHeight="15" x14ac:dyDescent="0.2"/>
  <cols>
    <col min="1" max="1" width="51.5" customWidth="1"/>
    <col min="2" max="4" width="11.5" bestFit="1" customWidth="1"/>
    <col min="5" max="8" width="11.6640625" customWidth="1"/>
    <col min="9" max="9" width="12.5" customWidth="1"/>
    <col min="10" max="10" width="29" customWidth="1"/>
  </cols>
  <sheetData>
    <row r="1" spans="1:12" x14ac:dyDescent="0.2">
      <c r="A1" s="154" t="s">
        <v>0</v>
      </c>
      <c r="B1" s="3" t="s">
        <v>49</v>
      </c>
      <c r="C1" s="3"/>
      <c r="D1" s="4"/>
      <c r="E1" s="4"/>
      <c r="F1" s="4"/>
      <c r="G1" s="4"/>
      <c r="H1" s="4"/>
      <c r="I1" s="4"/>
    </row>
    <row r="2" spans="1:12" x14ac:dyDescent="0.2">
      <c r="A2" s="154"/>
      <c r="B2" s="75">
        <v>2021</v>
      </c>
      <c r="C2" s="75">
        <v>2022</v>
      </c>
      <c r="D2" s="75">
        <v>2023</v>
      </c>
      <c r="E2" s="76">
        <v>2024</v>
      </c>
      <c r="F2" s="76">
        <v>2025</v>
      </c>
      <c r="G2" s="76">
        <v>2026</v>
      </c>
      <c r="H2" s="76">
        <v>2027</v>
      </c>
      <c r="I2" s="76">
        <v>2028</v>
      </c>
    </row>
    <row r="3" spans="1:12" x14ac:dyDescent="0.2">
      <c r="A3" s="2"/>
    </row>
    <row r="4" spans="1:12" x14ac:dyDescent="0.2">
      <c r="A4" t="s">
        <v>1</v>
      </c>
      <c r="B4" s="11">
        <v>29697844</v>
      </c>
      <c r="C4" s="11">
        <v>31615550</v>
      </c>
      <c r="D4" s="11">
        <v>33723297</v>
      </c>
      <c r="E4" s="14">
        <f>D4*(1+E23)</f>
        <v>38107325.609999999</v>
      </c>
      <c r="F4" s="14">
        <f t="shared" ref="F4:I4" si="0">E4*(1+F23)</f>
        <v>43061277.939299993</v>
      </c>
      <c r="G4" s="14">
        <f t="shared" si="0"/>
        <v>48874550.461105496</v>
      </c>
      <c r="H4" s="14">
        <f t="shared" si="0"/>
        <v>55472614.773354739</v>
      </c>
      <c r="I4" s="14">
        <f t="shared" si="0"/>
        <v>63238780.841624409</v>
      </c>
    </row>
    <row r="5" spans="1:12" x14ac:dyDescent="0.2">
      <c r="A5" t="s">
        <v>2</v>
      </c>
      <c r="B5" s="11">
        <v>17332683</v>
      </c>
      <c r="C5" s="11">
        <v>19168285</v>
      </c>
      <c r="D5" s="11">
        <v>19715368</v>
      </c>
      <c r="E5" s="14">
        <f>E4*E25</f>
        <v>22541104.753490798</v>
      </c>
      <c r="F5" s="14">
        <f>F4*F25</f>
        <v>25471448.371444598</v>
      </c>
      <c r="G5" s="14">
        <f t="shared" ref="G5:I5" si="1">G4*G25</f>
        <v>28910093.901589621</v>
      </c>
      <c r="H5" s="14">
        <f t="shared" si="1"/>
        <v>32812956.57830422</v>
      </c>
      <c r="I5" s="14">
        <f t="shared" si="1"/>
        <v>37406770.499266818</v>
      </c>
      <c r="J5" s="15"/>
    </row>
    <row r="6" spans="1:12" x14ac:dyDescent="0.2">
      <c r="A6" t="s">
        <v>3</v>
      </c>
      <c r="B6" s="11">
        <v>2545146</v>
      </c>
      <c r="C6" s="11">
        <v>2530502</v>
      </c>
      <c r="D6" s="11">
        <v>2657883</v>
      </c>
      <c r="E6" s="14">
        <f>D6*(1+E26)</f>
        <v>2790777.15</v>
      </c>
      <c r="F6" s="14">
        <f t="shared" ref="F6:I6" si="2">E6*(1+F26)</f>
        <v>2902408.236</v>
      </c>
      <c r="G6" s="14">
        <f t="shared" si="2"/>
        <v>2989480.4830800002</v>
      </c>
      <c r="H6" s="14">
        <f t="shared" si="2"/>
        <v>3049270.0927416002</v>
      </c>
      <c r="I6" s="14">
        <f t="shared" si="2"/>
        <v>3110255.4945964324</v>
      </c>
    </row>
    <row r="7" spans="1:12" x14ac:dyDescent="0.2">
      <c r="A7" t="s">
        <v>4</v>
      </c>
      <c r="B7" s="11">
        <v>2273885</v>
      </c>
      <c r="C7" s="11">
        <v>2711041</v>
      </c>
      <c r="D7" s="11">
        <v>2675758</v>
      </c>
      <c r="E7" s="14">
        <f>D7*(1+E27)</f>
        <v>2675758</v>
      </c>
      <c r="F7" s="14">
        <f t="shared" ref="F7:I7" si="3">E7*(1+F27)</f>
        <v>2675758</v>
      </c>
      <c r="G7" s="14">
        <f t="shared" si="3"/>
        <v>2675758</v>
      </c>
      <c r="H7" s="14">
        <f t="shared" si="3"/>
        <v>2675758</v>
      </c>
      <c r="I7" s="14">
        <f t="shared" si="3"/>
        <v>2675758</v>
      </c>
    </row>
    <row r="8" spans="1:12" x14ac:dyDescent="0.2">
      <c r="A8" t="s">
        <v>5</v>
      </c>
      <c r="B8" s="12">
        <v>1351621</v>
      </c>
      <c r="C8" s="12">
        <v>1572891</v>
      </c>
      <c r="D8" s="12">
        <v>1720285</v>
      </c>
      <c r="E8" s="16">
        <f>D8*(1+E28)</f>
        <v>1857907.8</v>
      </c>
      <c r="F8" s="16">
        <f t="shared" ref="F8:I8" si="4">E8*(1+F28)</f>
        <v>1950803.1900000002</v>
      </c>
      <c r="G8" s="16">
        <f t="shared" si="4"/>
        <v>2048343.3495000002</v>
      </c>
      <c r="H8" s="16">
        <f t="shared" si="4"/>
        <v>2099551.9332375</v>
      </c>
      <c r="I8" s="16">
        <f t="shared" si="4"/>
        <v>2152040.7315684375</v>
      </c>
    </row>
    <row r="9" spans="1:12" x14ac:dyDescent="0.2">
      <c r="A9" s="2" t="s">
        <v>6</v>
      </c>
      <c r="B9" s="13">
        <v>6194509</v>
      </c>
      <c r="C9" s="13">
        <v>5632831</v>
      </c>
      <c r="D9" s="13">
        <v>6954003</v>
      </c>
      <c r="E9" s="17">
        <f>E4-SUM(E5:E8)</f>
        <v>8241777.906509202</v>
      </c>
      <c r="F9" s="17">
        <f t="shared" ref="F9:I9" si="5">F4-SUM(F5:F8)</f>
        <v>10060860.141855393</v>
      </c>
      <c r="G9" s="17">
        <f t="shared" si="5"/>
        <v>12250874.726935878</v>
      </c>
      <c r="H9" s="17">
        <f t="shared" si="5"/>
        <v>14835078.169071421</v>
      </c>
      <c r="I9" s="17">
        <f t="shared" si="5"/>
        <v>17893956.116192721</v>
      </c>
      <c r="K9" s="7"/>
      <c r="L9" s="7"/>
    </row>
    <row r="10" spans="1:12" x14ac:dyDescent="0.2">
      <c r="A10" t="s">
        <v>7</v>
      </c>
      <c r="B10" s="11"/>
      <c r="C10" s="11"/>
      <c r="D10" s="11"/>
      <c r="E10" s="14"/>
      <c r="F10" s="14"/>
      <c r="G10" s="14"/>
      <c r="H10" s="14"/>
      <c r="I10" s="14"/>
    </row>
    <row r="11" spans="1:12" x14ac:dyDescent="0.2">
      <c r="A11" t="s">
        <v>8</v>
      </c>
      <c r="B11" s="11">
        <v>-765620</v>
      </c>
      <c r="C11" s="11">
        <v>-706212</v>
      </c>
      <c r="D11" s="11">
        <v>-699826</v>
      </c>
      <c r="E11" s="63">
        <f>-E31*(BS!E17+BS!E20)</f>
        <v>-686353.25080767437</v>
      </c>
      <c r="F11" s="63">
        <f>-F31*(BS!F17+BS!F20)</f>
        <v>-686164.47519516014</v>
      </c>
      <c r="G11" s="63">
        <f>-G31*(BS!G17+BS!G20)</f>
        <v>-685975.69958264579</v>
      </c>
      <c r="H11" s="63">
        <f>-H31*(BS!H17+BS!H20)</f>
        <v>-685786.92397013144</v>
      </c>
      <c r="I11" s="63">
        <f>-I31*(BS!I17+BS!I20)</f>
        <v>-685598.14835761709</v>
      </c>
    </row>
    <row r="12" spans="1:12" x14ac:dyDescent="0.2">
      <c r="A12" t="s">
        <v>9</v>
      </c>
      <c r="B12" s="12">
        <v>411214</v>
      </c>
      <c r="C12" s="12">
        <v>337310</v>
      </c>
      <c r="D12" s="12">
        <v>-48772</v>
      </c>
      <c r="E12" s="64">
        <f>E30*BS!E4</f>
        <v>355845.65</v>
      </c>
      <c r="F12" s="64">
        <f>F30*BS!F4</f>
        <v>516081.78395745117</v>
      </c>
      <c r="G12" s="64">
        <f>G30*BS!G4</f>
        <v>752161.28206540074</v>
      </c>
      <c r="H12" s="64">
        <f>H30*BS!H4</f>
        <v>1186167.6530454517</v>
      </c>
      <c r="I12" s="64">
        <f>I30*BS!I4</f>
        <v>1568186.0652909791</v>
      </c>
    </row>
    <row r="13" spans="1:12" x14ac:dyDescent="0.2">
      <c r="A13" s="2" t="s">
        <v>10</v>
      </c>
      <c r="B13" s="13">
        <v>5840103</v>
      </c>
      <c r="C13" s="13">
        <v>5263929</v>
      </c>
      <c r="D13" s="13">
        <v>6205405</v>
      </c>
      <c r="E13" s="14">
        <f>SUM(E9:E12)</f>
        <v>7911270.3057015277</v>
      </c>
      <c r="F13" s="14">
        <f t="shared" ref="F13:I13" si="6">SUM(F9:F12)</f>
        <v>9890777.4506176841</v>
      </c>
      <c r="G13" s="14">
        <f t="shared" si="6"/>
        <v>12317060.309418634</v>
      </c>
      <c r="H13" s="14">
        <f t="shared" si="6"/>
        <v>15335458.898146741</v>
      </c>
      <c r="I13" s="14">
        <f t="shared" si="6"/>
        <v>18776544.033126082</v>
      </c>
    </row>
    <row r="14" spans="1:12" x14ac:dyDescent="0.2">
      <c r="A14" t="s">
        <v>11</v>
      </c>
      <c r="B14" s="11">
        <v>-723875</v>
      </c>
      <c r="C14" s="11">
        <v>-772005</v>
      </c>
      <c r="D14" s="11">
        <v>-797415</v>
      </c>
      <c r="E14" s="16">
        <f>-E33*E13</f>
        <v>-1052493.7039888517</v>
      </c>
      <c r="F14" s="16">
        <f t="shared" ref="F14:I14" si="7">-F33*F13</f>
        <v>-1315841.9055442601</v>
      </c>
      <c r="G14" s="16">
        <f t="shared" si="7"/>
        <v>-1638627.922746036</v>
      </c>
      <c r="H14" s="16">
        <f t="shared" si="7"/>
        <v>-2040187.3927183445</v>
      </c>
      <c r="I14" s="16">
        <f t="shared" si="7"/>
        <v>-2497979.9215420997</v>
      </c>
    </row>
    <row r="15" spans="1:12" ht="16" thickBot="1" x14ac:dyDescent="0.25">
      <c r="A15" s="2" t="s">
        <v>12</v>
      </c>
      <c r="B15" s="10">
        <v>5116228</v>
      </c>
      <c r="C15" s="10">
        <v>4491924</v>
      </c>
      <c r="D15" s="10">
        <v>5407990</v>
      </c>
      <c r="E15" s="18">
        <f>E13+E14</f>
        <v>6858776.6017126758</v>
      </c>
      <c r="F15" s="18">
        <f>F13+F14</f>
        <v>8574935.5450734235</v>
      </c>
      <c r="G15" s="18">
        <f>G13+G14</f>
        <v>10678432.386672597</v>
      </c>
      <c r="H15" s="18">
        <f>H13+H14</f>
        <v>13295271.505428396</v>
      </c>
      <c r="I15" s="18">
        <f t="shared" ref="I15" si="8">I13+I14</f>
        <v>16278564.111583982</v>
      </c>
    </row>
    <row r="16" spans="1:12" ht="16" thickTop="1" x14ac:dyDescent="0.2">
      <c r="B16" s="9"/>
      <c r="C16" s="9"/>
      <c r="D16" s="9"/>
    </row>
    <row r="17" spans="1:17" x14ac:dyDescent="0.2">
      <c r="A17" s="155" t="s">
        <v>98</v>
      </c>
      <c r="B17" s="156"/>
      <c r="C17" s="156"/>
      <c r="D17" s="156"/>
      <c r="E17" s="156"/>
      <c r="F17" s="156"/>
      <c r="G17" s="156"/>
      <c r="H17" s="156"/>
      <c r="I17" s="156"/>
    </row>
    <row r="18" spans="1:17" x14ac:dyDescent="0.2">
      <c r="A18" t="s">
        <v>70</v>
      </c>
      <c r="B18" s="8">
        <v>208412</v>
      </c>
      <c r="C18" s="8">
        <v>336682</v>
      </c>
      <c r="D18" s="8">
        <v>356947</v>
      </c>
      <c r="E18" s="14">
        <f>E35*BS!E9</f>
        <v>361292.89623067534</v>
      </c>
      <c r="F18" s="14">
        <f>F35*BS!F9</f>
        <v>369182.98241825867</v>
      </c>
      <c r="G18" s="14">
        <f>G35*BS!G9</f>
        <v>387565.17633765755</v>
      </c>
      <c r="H18" s="14">
        <f>H35*BS!H9</f>
        <v>416049.34938650898</v>
      </c>
      <c r="I18" s="14">
        <f>I35*BS!I9</f>
        <v>454153.27907116793</v>
      </c>
      <c r="J18"/>
    </row>
    <row r="19" spans="1:17" x14ac:dyDescent="0.2">
      <c r="A19" t="s">
        <v>39</v>
      </c>
      <c r="B19" s="8">
        <v>403220</v>
      </c>
      <c r="C19" s="8">
        <v>575452</v>
      </c>
      <c r="D19" s="8">
        <v>339368</v>
      </c>
      <c r="E19" s="14">
        <f>D19*(1+E36)</f>
        <v>347852.19999999995</v>
      </c>
      <c r="F19" s="14">
        <f>E19*(1+F36)</f>
        <v>356548.50499999995</v>
      </c>
      <c r="G19" s="14">
        <f>F19*(1+G36)</f>
        <v>365462.21762499993</v>
      </c>
      <c r="H19" s="14">
        <f>G19*(1+H36)</f>
        <v>374598.77306562488</v>
      </c>
      <c r="I19" s="14">
        <f t="shared" ref="I19" si="9">H19*(1+I36)</f>
        <v>383963.74239226547</v>
      </c>
    </row>
    <row r="20" spans="1:17" x14ac:dyDescent="0.2">
      <c r="A20" t="s">
        <v>38</v>
      </c>
      <c r="B20" s="8">
        <v>12230367</v>
      </c>
      <c r="C20" s="8">
        <v>14026132</v>
      </c>
      <c r="D20" s="8">
        <v>14197437</v>
      </c>
      <c r="E20" s="14">
        <f>D20*(1+E37)</f>
        <v>15191257.590000002</v>
      </c>
      <c r="F20" s="14">
        <f>E20*(1+F37)</f>
        <v>16406558.197200002</v>
      </c>
      <c r="G20" s="14">
        <f>F20*(1+G37)</f>
        <v>17719082.852976002</v>
      </c>
      <c r="H20" s="14">
        <f t="shared" ref="H20:I20" si="10">G20*(1+H37)</f>
        <v>19313800.309743844</v>
      </c>
      <c r="I20" s="14">
        <f t="shared" si="10"/>
        <v>21052042.337620791</v>
      </c>
      <c r="J20"/>
    </row>
    <row r="21" spans="1:17" x14ac:dyDescent="0.2">
      <c r="A21" s="5"/>
      <c r="B21" s="9"/>
      <c r="C21" s="9"/>
      <c r="D21" s="9"/>
    </row>
    <row r="22" spans="1:17" ht="16" x14ac:dyDescent="0.2">
      <c r="A22" s="29" t="s">
        <v>71</v>
      </c>
      <c r="B22" s="29"/>
      <c r="C22" s="29"/>
      <c r="D22" s="29"/>
      <c r="E22" s="29"/>
      <c r="F22" s="29"/>
      <c r="G22" s="29"/>
      <c r="H22" s="29"/>
      <c r="I22" s="29"/>
      <c r="J22" s="55" t="s">
        <v>75</v>
      </c>
    </row>
    <row r="23" spans="1:17" s="47" customFormat="1" x14ac:dyDescent="0.2">
      <c r="A23" s="5" t="s">
        <v>72</v>
      </c>
      <c r="B23" s="45"/>
      <c r="C23" s="46">
        <f>+C4/B4-1</f>
        <v>6.45739131769969E-2</v>
      </c>
      <c r="D23" s="46">
        <f>+D4/C4-1</f>
        <v>6.6668047843545297E-2</v>
      </c>
      <c r="E23" s="90">
        <v>0.13</v>
      </c>
      <c r="F23" s="90">
        <v>0.13</v>
      </c>
      <c r="G23" s="90">
        <v>0.13500000000000001</v>
      </c>
      <c r="H23" s="90">
        <v>0.13500000000000001</v>
      </c>
      <c r="I23" s="90">
        <v>0.14000000000000001</v>
      </c>
      <c r="J23" t="s">
        <v>107</v>
      </c>
      <c r="M23" s="90">
        <v>0.13</v>
      </c>
      <c r="N23" s="90">
        <v>0.13500000000000001</v>
      </c>
      <c r="O23" s="90">
        <v>0.14000000000000001</v>
      </c>
      <c r="P23" s="90">
        <v>0.14499999999999999</v>
      </c>
      <c r="Q23" s="90">
        <v>0.15</v>
      </c>
    </row>
    <row r="24" spans="1:17" x14ac:dyDescent="0.2">
      <c r="B24" s="46"/>
      <c r="C24" s="46"/>
      <c r="D24" s="46"/>
      <c r="E24" s="58"/>
      <c r="F24" s="58"/>
      <c r="G24" s="58"/>
      <c r="H24" s="58"/>
      <c r="I24" s="59"/>
    </row>
    <row r="25" spans="1:17" x14ac:dyDescent="0.2">
      <c r="A25" s="5" t="s">
        <v>42</v>
      </c>
      <c r="B25" s="46">
        <f t="shared" ref="B25:C25" si="11">+B5/B4</f>
        <v>0.58363438773535214</v>
      </c>
      <c r="C25" s="46">
        <f t="shared" si="11"/>
        <v>0.60629294761596741</v>
      </c>
      <c r="D25" s="46">
        <f>+D5/D4</f>
        <v>0.58462160446530476</v>
      </c>
      <c r="E25" s="58">
        <f>SUM($B$25:$D$25)/3</f>
        <v>0.59151631327220811</v>
      </c>
      <c r="F25" s="58">
        <f t="shared" ref="F25:I25" si="12">SUM($B$25:$D$25)/3</f>
        <v>0.59151631327220811</v>
      </c>
      <c r="G25" s="58">
        <f t="shared" si="12"/>
        <v>0.59151631327220811</v>
      </c>
      <c r="H25" s="58">
        <f t="shared" si="12"/>
        <v>0.59151631327220811</v>
      </c>
      <c r="I25" s="58">
        <f t="shared" si="12"/>
        <v>0.59151631327220811</v>
      </c>
      <c r="J25" t="s">
        <v>108</v>
      </c>
    </row>
    <row r="26" spans="1:17" x14ac:dyDescent="0.2">
      <c r="A26" s="5" t="s">
        <v>47</v>
      </c>
      <c r="B26" s="45"/>
      <c r="C26" s="46">
        <f t="shared" ref="C26:D28" si="13">+C6/B6-1</f>
        <v>-5.7536974303242783E-3</v>
      </c>
      <c r="D26" s="46">
        <f t="shared" si="13"/>
        <v>5.0338233283356404E-2</v>
      </c>
      <c r="E26" s="58">
        <v>0.05</v>
      </c>
      <c r="F26" s="58">
        <v>0.04</v>
      </c>
      <c r="G26" s="58">
        <v>0.03</v>
      </c>
      <c r="H26" s="58">
        <v>0.02</v>
      </c>
      <c r="I26" s="58">
        <v>0.02</v>
      </c>
      <c r="J26" t="s">
        <v>110</v>
      </c>
    </row>
    <row r="27" spans="1:17" x14ac:dyDescent="0.2">
      <c r="A27" s="5" t="s">
        <v>48</v>
      </c>
      <c r="B27" s="45"/>
      <c r="C27" s="46">
        <f>+C7/B7-1</f>
        <v>0.19225070748960471</v>
      </c>
      <c r="D27" s="46">
        <f t="shared" si="13"/>
        <v>-1.3014557876476207E-2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t="s">
        <v>109</v>
      </c>
    </row>
    <row r="28" spans="1:17" x14ac:dyDescent="0.2">
      <c r="A28" s="5" t="s">
        <v>43</v>
      </c>
      <c r="B28" s="45"/>
      <c r="C28" s="46">
        <f t="shared" si="13"/>
        <v>0.16370713387850588</v>
      </c>
      <c r="D28" s="46">
        <f t="shared" si="13"/>
        <v>9.3708972840457427E-2</v>
      </c>
      <c r="E28" s="58">
        <v>0.08</v>
      </c>
      <c r="F28" s="58">
        <v>0.05</v>
      </c>
      <c r="G28" s="58">
        <v>0.05</v>
      </c>
      <c r="H28" s="58">
        <v>2.5000000000000001E-2</v>
      </c>
      <c r="I28" s="58">
        <v>2.5000000000000001E-2</v>
      </c>
      <c r="J28" t="s">
        <v>110</v>
      </c>
    </row>
    <row r="29" spans="1:17" x14ac:dyDescent="0.2">
      <c r="A29" s="5"/>
      <c r="B29" s="45"/>
      <c r="C29" s="45"/>
      <c r="D29" s="45"/>
    </row>
    <row r="30" spans="1:17" x14ac:dyDescent="0.2">
      <c r="A30" s="5" t="s">
        <v>44</v>
      </c>
      <c r="B30" s="46">
        <f>+B12/BS!B4</f>
        <v>5.0114130070501063E-2</v>
      </c>
      <c r="C30" s="46">
        <f>+C12/BS!C4</f>
        <v>5.595901923818359E-2</v>
      </c>
      <c r="D30" s="46">
        <f>+D12/BS!D4</f>
        <v>-9.4754871409098891E-3</v>
      </c>
      <c r="E30" s="58">
        <v>0.05</v>
      </c>
      <c r="F30" s="58">
        <v>4.4999999999999998E-2</v>
      </c>
      <c r="G30" s="58">
        <v>0.04</v>
      </c>
      <c r="H30" s="58">
        <v>0.04</v>
      </c>
      <c r="I30" s="58">
        <v>3.5000000000000003E-2</v>
      </c>
      <c r="J30" t="s">
        <v>112</v>
      </c>
    </row>
    <row r="31" spans="1:17" x14ac:dyDescent="0.2">
      <c r="A31" s="5" t="s">
        <v>45</v>
      </c>
      <c r="B31" s="46">
        <f>+-B11/SUM(BS!B17,BS!B20)</f>
        <v>4.6944709516656871E-2</v>
      </c>
      <c r="C31" s="46">
        <f>+-C11/SUM(BS!C17,BS!C20)</f>
        <v>4.587908902126598E-2</v>
      </c>
      <c r="D31" s="46">
        <f>+-D11/SUM(BS!D17,BS!D20)</f>
        <v>4.8757910847821051E-2</v>
      </c>
      <c r="E31" s="58">
        <f>SUM($B$31:$D$31)/3</f>
        <v>4.7193903128581301E-2</v>
      </c>
      <c r="F31" s="58">
        <f t="shared" ref="F31:H31" si="14">SUM($B$31:$D$31)/3</f>
        <v>4.7193903128581301E-2</v>
      </c>
      <c r="G31" s="58">
        <f t="shared" si="14"/>
        <v>4.7193903128581301E-2</v>
      </c>
      <c r="H31" s="58">
        <f t="shared" si="14"/>
        <v>4.7193903128581301E-2</v>
      </c>
      <c r="I31" s="58">
        <f>SUM($B$31:$D$31)/3</f>
        <v>4.7193903128581301E-2</v>
      </c>
      <c r="J31" t="s">
        <v>147</v>
      </c>
    </row>
    <row r="32" spans="1:17" x14ac:dyDescent="0.2">
      <c r="A32" s="5"/>
      <c r="B32" s="46"/>
      <c r="C32" s="45"/>
      <c r="D32" s="45"/>
    </row>
    <row r="33" spans="1:10" x14ac:dyDescent="0.2">
      <c r="A33" s="5" t="s">
        <v>46</v>
      </c>
      <c r="B33" s="46">
        <f t="shared" ref="B33:C33" si="15">+-B14/B13</f>
        <v>0.1239490125431007</v>
      </c>
      <c r="C33" s="46">
        <f t="shared" si="15"/>
        <v>0.14665946292208729</v>
      </c>
      <c r="D33" s="46">
        <f>+-D14/D13</f>
        <v>0.12850329672277636</v>
      </c>
      <c r="E33" s="58">
        <f>SUM($B$33:$D$33)/3</f>
        <v>0.13303725739598812</v>
      </c>
      <c r="F33" s="58">
        <f t="shared" ref="F33:H33" si="16">SUM($B$33:$D$33)/3</f>
        <v>0.13303725739598812</v>
      </c>
      <c r="G33" s="58">
        <f t="shared" si="16"/>
        <v>0.13303725739598812</v>
      </c>
      <c r="H33" s="58">
        <f t="shared" si="16"/>
        <v>0.13303725739598812</v>
      </c>
      <c r="I33" s="58">
        <f>SUM($B$33:$D$33)/3</f>
        <v>0.13303725739598812</v>
      </c>
      <c r="J33" t="s">
        <v>111</v>
      </c>
    </row>
    <row r="34" spans="1:10" x14ac:dyDescent="0.2">
      <c r="B34" s="45"/>
      <c r="C34" s="45"/>
      <c r="D34" s="45"/>
    </row>
    <row r="35" spans="1:10" x14ac:dyDescent="0.2">
      <c r="A35" t="s">
        <v>118</v>
      </c>
      <c r="B35" s="46">
        <f>B18/BS!B9</f>
        <v>0.2170544573274053</v>
      </c>
      <c r="C35" s="46">
        <f>C18/BS!C9</f>
        <v>0.25439664272172868</v>
      </c>
      <c r="D35" s="46">
        <f>D18/BS!D9</f>
        <v>0.25527996641532996</v>
      </c>
      <c r="E35" s="46">
        <f>SUM($B$35:$D$35)/3</f>
        <v>0.24224368882148797</v>
      </c>
      <c r="F35" s="46">
        <f>SUM($B$35:$D$35)/3</f>
        <v>0.24224368882148797</v>
      </c>
      <c r="G35" s="46">
        <f t="shared" ref="G35:I35" si="17">SUM($B$35:$D$35)/3</f>
        <v>0.24224368882148797</v>
      </c>
      <c r="H35" s="46">
        <f t="shared" si="17"/>
        <v>0.24224368882148797</v>
      </c>
      <c r="I35" s="46">
        <f t="shared" si="17"/>
        <v>0.24224368882148797</v>
      </c>
      <c r="J35" t="s">
        <v>148</v>
      </c>
    </row>
    <row r="36" spans="1:10" x14ac:dyDescent="0.2">
      <c r="A36" t="s">
        <v>99</v>
      </c>
      <c r="B36" s="45"/>
      <c r="C36" s="46">
        <f t="shared" ref="C36:D36" si="18">+C19/B19-1</f>
        <v>0.42714151083775609</v>
      </c>
      <c r="D36" s="46">
        <f t="shared" si="18"/>
        <v>-0.41025837081111893</v>
      </c>
      <c r="E36" s="58">
        <v>2.5000000000000001E-2</v>
      </c>
      <c r="F36" s="58">
        <v>2.5000000000000001E-2</v>
      </c>
      <c r="G36" s="58">
        <v>2.5000000000000001E-2</v>
      </c>
      <c r="H36" s="58">
        <v>2.5000000000000001E-2</v>
      </c>
      <c r="I36" s="58">
        <v>2.5000000000000001E-2</v>
      </c>
      <c r="J36" t="s">
        <v>149</v>
      </c>
    </row>
    <row r="37" spans="1:10" x14ac:dyDescent="0.2">
      <c r="A37" t="s">
        <v>124</v>
      </c>
      <c r="C37" s="46">
        <f>C20/B20 -1</f>
        <v>0.14682838217365024</v>
      </c>
      <c r="D37" s="46">
        <f>D20/C20 -1</f>
        <v>1.2213274479378811E-2</v>
      </c>
      <c r="E37" s="46">
        <v>7.0000000000000007E-2</v>
      </c>
      <c r="F37" s="46">
        <v>0.08</v>
      </c>
      <c r="G37" s="46">
        <v>0.08</v>
      </c>
      <c r="H37" s="46">
        <v>0.09</v>
      </c>
      <c r="I37" s="46">
        <v>0.09</v>
      </c>
      <c r="J37" t="s">
        <v>150</v>
      </c>
    </row>
    <row r="38" spans="1:10" x14ac:dyDescent="0.2">
      <c r="C38" s="77"/>
      <c r="D38" s="77"/>
      <c r="E38" s="77"/>
      <c r="F38" s="77"/>
      <c r="G38" s="77"/>
      <c r="H38" s="77"/>
      <c r="I38" s="77"/>
    </row>
    <row r="39" spans="1:10" x14ac:dyDescent="0.2">
      <c r="A39" t="s">
        <v>87</v>
      </c>
      <c r="D39" s="63"/>
      <c r="E39" s="63"/>
      <c r="F39" s="63"/>
      <c r="G39" s="63"/>
      <c r="H39" s="63"/>
      <c r="I39" s="63"/>
    </row>
    <row r="41" spans="1:10" x14ac:dyDescent="0.2">
      <c r="D41" s="8"/>
      <c r="E41" s="8"/>
      <c r="F41" s="8"/>
    </row>
    <row r="42" spans="1:10" x14ac:dyDescent="0.2">
      <c r="D42" s="8"/>
      <c r="E42" s="8"/>
      <c r="F42" s="8"/>
    </row>
  </sheetData>
  <mergeCells count="2">
    <mergeCell ref="A1:A2"/>
    <mergeCell ref="A17:I1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8"/>
  <sheetViews>
    <sheetView tabSelected="1" topLeftCell="A68" zoomScaleNormal="112" workbookViewId="0">
      <selection activeCell="E8" sqref="E8"/>
    </sheetView>
  </sheetViews>
  <sheetFormatPr baseColWidth="10" defaultColWidth="8.83203125" defaultRowHeight="15" x14ac:dyDescent="0.2"/>
  <cols>
    <col min="1" max="1" width="45.5" customWidth="1"/>
    <col min="2" max="2" width="13.33203125" customWidth="1"/>
    <col min="3" max="4" width="14" customWidth="1"/>
    <col min="5" max="5" width="13.6640625" customWidth="1"/>
    <col min="6" max="9" width="12.33203125" bestFit="1" customWidth="1"/>
    <col min="10" max="10" width="14.83203125" customWidth="1"/>
    <col min="11" max="11" width="21.33203125" customWidth="1"/>
    <col min="12" max="12" width="3.6640625" customWidth="1"/>
    <col min="13" max="13" width="10.1640625" bestFit="1" customWidth="1"/>
  </cols>
  <sheetData>
    <row r="1" spans="1:13" x14ac:dyDescent="0.2">
      <c r="A1" s="157" t="s">
        <v>13</v>
      </c>
      <c r="B1" s="3" t="s">
        <v>58</v>
      </c>
      <c r="C1" s="4"/>
      <c r="D1" s="4"/>
      <c r="E1" s="4"/>
      <c r="F1" s="4"/>
      <c r="G1" s="4"/>
      <c r="H1" s="4"/>
      <c r="I1" s="4"/>
      <c r="J1" s="4"/>
    </row>
    <row r="2" spans="1:13" ht="16" x14ac:dyDescent="0.2">
      <c r="A2" s="157"/>
      <c r="B2" s="49">
        <v>2020</v>
      </c>
      <c r="C2" s="49">
        <v>2021</v>
      </c>
      <c r="D2" s="49">
        <v>2022</v>
      </c>
      <c r="E2" s="49">
        <v>2023</v>
      </c>
      <c r="F2" s="51">
        <v>2024</v>
      </c>
      <c r="G2" s="51">
        <v>2025</v>
      </c>
      <c r="H2" s="51">
        <v>2026</v>
      </c>
      <c r="I2" s="51">
        <v>2027</v>
      </c>
      <c r="J2" s="51">
        <v>2028</v>
      </c>
      <c r="K2" s="55" t="s">
        <v>75</v>
      </c>
    </row>
    <row r="3" spans="1:13" x14ac:dyDescent="0.2">
      <c r="A3" t="s">
        <v>14</v>
      </c>
    </row>
    <row r="4" spans="1:13" x14ac:dyDescent="0.2">
      <c r="A4" t="s">
        <v>15</v>
      </c>
      <c r="B4" s="11">
        <v>8205550</v>
      </c>
      <c r="C4" s="11">
        <v>6027804</v>
      </c>
      <c r="D4" s="11">
        <v>5147176</v>
      </c>
      <c r="E4" s="11">
        <v>7116913</v>
      </c>
      <c r="F4" s="63">
        <f>F7-SUM(F5:F6)</f>
        <v>11468484.08794336</v>
      </c>
      <c r="G4" s="63">
        <f t="shared" ref="G4:J4" si="0">G7-SUM(G5:G6)</f>
        <v>18804032.051635019</v>
      </c>
      <c r="H4" s="63">
        <f t="shared" si="0"/>
        <v>29654191.326136291</v>
      </c>
      <c r="I4" s="63">
        <f t="shared" si="0"/>
        <v>44805316.151170827</v>
      </c>
      <c r="J4" s="63">
        <f t="shared" si="0"/>
        <v>64823762.30823198</v>
      </c>
      <c r="K4" t="s">
        <v>115</v>
      </c>
    </row>
    <row r="5" spans="1:13" x14ac:dyDescent="0.2">
      <c r="A5" t="s">
        <v>16</v>
      </c>
      <c r="B5" s="11"/>
      <c r="C5" s="11"/>
      <c r="D5" s="11">
        <v>911276</v>
      </c>
      <c r="E5" s="11">
        <v>20973</v>
      </c>
      <c r="F5" s="63">
        <f>F43</f>
        <v>20973</v>
      </c>
      <c r="G5" s="63">
        <f t="shared" ref="G5:J5" si="1">G43</f>
        <v>20973</v>
      </c>
      <c r="H5" s="63">
        <f t="shared" si="1"/>
        <v>20973</v>
      </c>
      <c r="I5" s="63">
        <f t="shared" si="1"/>
        <v>20973</v>
      </c>
      <c r="J5" s="63">
        <f t="shared" si="1"/>
        <v>20973</v>
      </c>
      <c r="K5" t="s">
        <v>131</v>
      </c>
    </row>
    <row r="6" spans="1:13" ht="16" x14ac:dyDescent="0.2">
      <c r="A6" t="s">
        <v>17</v>
      </c>
      <c r="B6" s="12">
        <v>1556030</v>
      </c>
      <c r="C6" s="12">
        <v>2042021</v>
      </c>
      <c r="D6" s="12">
        <v>3208021</v>
      </c>
      <c r="E6" s="12">
        <v>2780247</v>
      </c>
      <c r="F6" s="64">
        <f>E6*(1+IS!E$23)</f>
        <v>3141679.11</v>
      </c>
      <c r="G6" s="64">
        <f>F6*(1+IS!F$23)</f>
        <v>3550097.3942999993</v>
      </c>
      <c r="H6" s="64">
        <f>G6*(1+IS!G$23)</f>
        <v>4029360.5425304994</v>
      </c>
      <c r="I6" s="64">
        <f>H6*(1+IS!H$23)</f>
        <v>4573324.2157721166</v>
      </c>
      <c r="J6" s="64">
        <f>I6*(1+IS!I$23)</f>
        <v>5213589.6059802137</v>
      </c>
      <c r="K6" s="100" t="s">
        <v>116</v>
      </c>
    </row>
    <row r="7" spans="1:13" x14ac:dyDescent="0.2">
      <c r="A7" s="2" t="s">
        <v>18</v>
      </c>
      <c r="B7" s="23">
        <v>9761580</v>
      </c>
      <c r="C7" s="23">
        <v>8069825</v>
      </c>
      <c r="D7" s="23">
        <v>9266473</v>
      </c>
      <c r="E7" s="23">
        <v>9918133</v>
      </c>
      <c r="F7" s="65">
        <f>F11-SUM(F8:F10)</f>
        <v>14631136.19794336</v>
      </c>
      <c r="G7" s="65">
        <f>G11-SUM(G8:G10)</f>
        <v>22375102.445935018</v>
      </c>
      <c r="H7" s="65">
        <f>H11-SUM(H8:H10)</f>
        <v>33704524.86866679</v>
      </c>
      <c r="I7" s="65">
        <f>I11-SUM(I8:I10)</f>
        <v>49399613.366942942</v>
      </c>
      <c r="J7" s="65">
        <f>J11-SUM(J8:J10)</f>
        <v>70058324.914212197</v>
      </c>
    </row>
    <row r="8" spans="1:13" x14ac:dyDescent="0.2">
      <c r="A8" t="s">
        <v>19</v>
      </c>
      <c r="B8" s="24">
        <v>25383950</v>
      </c>
      <c r="C8" s="24">
        <v>30919539</v>
      </c>
      <c r="D8" s="24">
        <v>32736713</v>
      </c>
      <c r="E8" s="24">
        <v>31658056</v>
      </c>
      <c r="F8" s="64">
        <f>F37</f>
        <v>33466798.409999996</v>
      </c>
      <c r="G8" s="64">
        <f>G37</f>
        <v>34060240.212799996</v>
      </c>
      <c r="H8" s="64">
        <f>H37</f>
        <v>33341157.359823994</v>
      </c>
      <c r="I8" s="64">
        <f t="shared" ref="I8:J8" si="2">I37</f>
        <v>31027357.05008015</v>
      </c>
      <c r="J8" s="64">
        <f t="shared" si="2"/>
        <v>26975314.712459359</v>
      </c>
      <c r="K8" s="102" t="s">
        <v>132</v>
      </c>
    </row>
    <row r="9" spans="1:13" x14ac:dyDescent="0.2">
      <c r="A9" t="s">
        <v>20</v>
      </c>
      <c r="B9" s="11">
        <v>960183</v>
      </c>
      <c r="C9" s="11">
        <v>1323453</v>
      </c>
      <c r="D9" s="11">
        <v>1398257</v>
      </c>
      <c r="E9" s="11">
        <v>1491444</v>
      </c>
      <c r="F9" s="63">
        <f>F49</f>
        <v>1524014.8637693247</v>
      </c>
      <c r="G9" s="63">
        <f>G49</f>
        <v>1599897.930151066</v>
      </c>
      <c r="H9" s="63">
        <f>H49</f>
        <v>1717482.7192014083</v>
      </c>
      <c r="I9" s="63">
        <f t="shared" ref="I9:J9" si="3">I49</f>
        <v>1874778.5805302793</v>
      </c>
      <c r="J9" s="63">
        <f t="shared" si="3"/>
        <v>2074238.8416746445</v>
      </c>
      <c r="K9" t="s">
        <v>133</v>
      </c>
    </row>
    <row r="10" spans="1:13" ht="16" x14ac:dyDescent="0.2">
      <c r="A10" t="s">
        <v>21</v>
      </c>
      <c r="B10" s="11">
        <v>3174646</v>
      </c>
      <c r="C10" s="11">
        <v>4271846</v>
      </c>
      <c r="D10" s="11">
        <v>5193325</v>
      </c>
      <c r="E10" s="11">
        <v>5664359</v>
      </c>
      <c r="F10" s="64">
        <f>E10*(1+IS!E$23)</f>
        <v>6400725.669999999</v>
      </c>
      <c r="G10" s="64">
        <f>F10*(1+IS!F$23)</f>
        <v>7232820.0070999982</v>
      </c>
      <c r="H10" s="64">
        <f>G10*(1+IS!G$23)</f>
        <v>8209250.7080584979</v>
      </c>
      <c r="I10" s="64">
        <f>H10*(1+IS!H$23)</f>
        <v>9317499.553646395</v>
      </c>
      <c r="J10" s="64">
        <f>I10*(1+IS!I$23)</f>
        <v>10621949.491156891</v>
      </c>
      <c r="K10" s="100" t="s">
        <v>116</v>
      </c>
    </row>
    <row r="11" spans="1:13" ht="16" thickBot="1" x14ac:dyDescent="0.25">
      <c r="A11" s="2" t="s">
        <v>22</v>
      </c>
      <c r="B11" s="10">
        <v>39280359</v>
      </c>
      <c r="C11" s="10">
        <v>44584663</v>
      </c>
      <c r="D11" s="10">
        <v>48594768</v>
      </c>
      <c r="E11" s="10">
        <v>48731992</v>
      </c>
      <c r="F11" s="66">
        <f>F29</f>
        <v>56022675.14171268</v>
      </c>
      <c r="G11" s="66">
        <f t="shared" ref="G11:I11" si="4">G29</f>
        <v>65268060.595986083</v>
      </c>
      <c r="H11" s="66">
        <f t="shared" si="4"/>
        <v>76972415.655750692</v>
      </c>
      <c r="I11" s="66">
        <f t="shared" si="4"/>
        <v>91619248.551199764</v>
      </c>
      <c r="J11" s="66">
        <f>J29</f>
        <v>109729827.95950308</v>
      </c>
    </row>
    <row r="12" spans="1:13" ht="16" thickTop="1" x14ac:dyDescent="0.2">
      <c r="A12" t="s">
        <v>23</v>
      </c>
      <c r="B12" s="11"/>
      <c r="C12" s="11"/>
      <c r="D12" s="11"/>
      <c r="E12" s="11"/>
      <c r="F12" s="63"/>
      <c r="G12" s="63"/>
      <c r="H12" s="63"/>
      <c r="I12" s="63"/>
      <c r="J12" s="63"/>
    </row>
    <row r="13" spans="1:13" ht="16" x14ac:dyDescent="0.2">
      <c r="A13" t="s">
        <v>24</v>
      </c>
      <c r="B13" s="11">
        <v>4429536</v>
      </c>
      <c r="C13" s="11">
        <v>4292967</v>
      </c>
      <c r="D13" s="11">
        <v>4480150</v>
      </c>
      <c r="E13" s="11">
        <v>4466470</v>
      </c>
      <c r="F13" s="64">
        <f>E13*(1+IS!E$23)</f>
        <v>5047111.0999999996</v>
      </c>
      <c r="G13" s="64">
        <f>F13*(1+IS!F$23)</f>
        <v>5703235.5429999987</v>
      </c>
      <c r="H13" s="64">
        <f>G13*(1+IS!G$23)</f>
        <v>6473172.3413049988</v>
      </c>
      <c r="I13" s="64">
        <f>H13*(1+IS!H$23)</f>
        <v>7347050.6073811734</v>
      </c>
      <c r="J13" s="64">
        <f>I13*(1+IS!I$23)</f>
        <v>8375637.6924145389</v>
      </c>
      <c r="K13" s="101" t="s">
        <v>117</v>
      </c>
    </row>
    <row r="14" spans="1:13" ht="16" x14ac:dyDescent="0.2">
      <c r="A14" t="s">
        <v>25</v>
      </c>
      <c r="B14" s="11">
        <v>656183</v>
      </c>
      <c r="C14" s="11">
        <v>837483</v>
      </c>
      <c r="D14" s="11">
        <v>671513</v>
      </c>
      <c r="E14" s="11">
        <v>747412</v>
      </c>
      <c r="F14" s="64">
        <f>E14*(1+IS!E$23)</f>
        <v>844575.55999999994</v>
      </c>
      <c r="G14" s="64">
        <f>F14*(1+IS!F$23)</f>
        <v>954370.38279999979</v>
      </c>
      <c r="H14" s="64">
        <f>G14*(1+IS!G$23)</f>
        <v>1083210.3844779998</v>
      </c>
      <c r="I14" s="64">
        <f>H14*(1+IS!H$23)</f>
        <v>1229443.7863825297</v>
      </c>
      <c r="J14" s="64">
        <f>I14*(1+IS!I$23)</f>
        <v>1401565.9164760839</v>
      </c>
      <c r="K14" s="101" t="s">
        <v>117</v>
      </c>
    </row>
    <row r="15" spans="1:13" ht="16" x14ac:dyDescent="0.2">
      <c r="A15" t="s">
        <v>26</v>
      </c>
      <c r="B15" s="11">
        <v>1102196</v>
      </c>
      <c r="C15" s="11">
        <v>1449351</v>
      </c>
      <c r="D15" s="11">
        <v>1514650</v>
      </c>
      <c r="E15" s="11">
        <v>1803960</v>
      </c>
      <c r="F15" s="64">
        <f>E15*(1+IS!E$23)</f>
        <v>2038474.7999999998</v>
      </c>
      <c r="G15" s="64">
        <f>F15*(1+IS!F$23)</f>
        <v>2303476.5239999997</v>
      </c>
      <c r="H15" s="64">
        <f>G15*(1+IS!G$23)</f>
        <v>2614445.8547399999</v>
      </c>
      <c r="I15" s="64">
        <f>H15*(1+IS!H$23)</f>
        <v>2967396.0451298999</v>
      </c>
      <c r="J15" s="64">
        <f>I15*(1+IS!I$23)</f>
        <v>3382831.4914480862</v>
      </c>
      <c r="K15" s="101" t="s">
        <v>117</v>
      </c>
      <c r="M15" s="82"/>
    </row>
    <row r="16" spans="1:13" ht="16" x14ac:dyDescent="0.2">
      <c r="A16" t="s">
        <v>27</v>
      </c>
      <c r="B16" s="11">
        <v>1117992</v>
      </c>
      <c r="C16" s="11">
        <v>1209342</v>
      </c>
      <c r="D16" s="11">
        <v>1264661</v>
      </c>
      <c r="E16" s="11">
        <v>1442969</v>
      </c>
      <c r="F16" s="64">
        <f>E16*(1+IS!E$23)</f>
        <v>1630554.9699999997</v>
      </c>
      <c r="G16" s="64">
        <f>F16*(1+IS!F$23)</f>
        <v>1842527.1160999995</v>
      </c>
      <c r="H16" s="64">
        <f>G16*(1+IS!G$23)</f>
        <v>2091268.2767734996</v>
      </c>
      <c r="I16" s="64">
        <f>H16*(1+IS!H$23)</f>
        <v>2373589.4941379218</v>
      </c>
      <c r="J16" s="64">
        <f>I16*(1+IS!I$23)</f>
        <v>2705892.0233172313</v>
      </c>
      <c r="K16" s="101" t="s">
        <v>117</v>
      </c>
    </row>
    <row r="17" spans="1:13" ht="16" x14ac:dyDescent="0.2">
      <c r="A17" t="s">
        <v>28</v>
      </c>
      <c r="B17" s="12">
        <v>499878</v>
      </c>
      <c r="C17" s="12">
        <v>699823</v>
      </c>
      <c r="D17" s="12">
        <v>0</v>
      </c>
      <c r="E17" s="12">
        <v>399844</v>
      </c>
      <c r="F17" s="64">
        <f>E17</f>
        <v>399844</v>
      </c>
      <c r="G17" s="64">
        <f t="shared" ref="G17:J17" si="5">F17</f>
        <v>399844</v>
      </c>
      <c r="H17" s="64">
        <f t="shared" si="5"/>
        <v>399844</v>
      </c>
      <c r="I17" s="64">
        <f t="shared" si="5"/>
        <v>399844</v>
      </c>
      <c r="J17" s="64">
        <f t="shared" si="5"/>
        <v>399844</v>
      </c>
      <c r="K17" s="101" t="s">
        <v>117</v>
      </c>
      <c r="M17" s="82"/>
    </row>
    <row r="18" spans="1:13" ht="16" x14ac:dyDescent="0.2">
      <c r="A18" s="2" t="s">
        <v>29</v>
      </c>
      <c r="B18" s="13">
        <v>7805785</v>
      </c>
      <c r="C18" s="13">
        <v>8488966</v>
      </c>
      <c r="D18" s="13">
        <v>7930974</v>
      </c>
      <c r="E18" s="13">
        <v>8860655</v>
      </c>
      <c r="F18" s="65">
        <f>SUM(F13:F17)</f>
        <v>9960560.4299999997</v>
      </c>
      <c r="G18" s="65">
        <f t="shared" ref="G18:J18" si="6">SUM(G13:G17)</f>
        <v>11203453.565899998</v>
      </c>
      <c r="H18" s="65">
        <f t="shared" si="6"/>
        <v>12661940.857296498</v>
      </c>
      <c r="I18" s="65">
        <f t="shared" si="6"/>
        <v>14317323.933031524</v>
      </c>
      <c r="J18" s="65">
        <f t="shared" si="6"/>
        <v>16265771.123655939</v>
      </c>
      <c r="K18" s="91"/>
    </row>
    <row r="19" spans="1:13" ht="16" x14ac:dyDescent="0.2">
      <c r="A19" t="s">
        <v>30</v>
      </c>
      <c r="B19" s="11">
        <v>2618084</v>
      </c>
      <c r="C19" s="11">
        <v>3094213</v>
      </c>
      <c r="D19" s="11">
        <v>3081277</v>
      </c>
      <c r="E19" s="11">
        <v>2578173</v>
      </c>
      <c r="F19" s="64">
        <f>E19*(1+IS!E$23)</f>
        <v>2913335.4899999998</v>
      </c>
      <c r="G19" s="64">
        <f>F19*(1+IS!F$23)</f>
        <v>3292069.1036999994</v>
      </c>
      <c r="H19" s="64">
        <f>G19*(1+IS!G$23)</f>
        <v>3736498.4326994992</v>
      </c>
      <c r="I19" s="64">
        <f>H19*(1+IS!H$23)</f>
        <v>4240925.7211139314</v>
      </c>
      <c r="J19" s="64">
        <f>I19*(1+IS!I$23)</f>
        <v>4834655.3220698824</v>
      </c>
      <c r="K19" s="101" t="s">
        <v>117</v>
      </c>
    </row>
    <row r="20" spans="1:13" ht="16" x14ac:dyDescent="0.2">
      <c r="A20" t="s">
        <v>31</v>
      </c>
      <c r="B20" s="11">
        <v>15809095</v>
      </c>
      <c r="C20" s="11">
        <v>14693072</v>
      </c>
      <c r="D20" s="11">
        <v>14353076</v>
      </c>
      <c r="E20" s="11">
        <v>14143417</v>
      </c>
      <c r="F20" s="63">
        <f>F55</f>
        <v>14139417</v>
      </c>
      <c r="G20" s="63">
        <f t="shared" ref="G20:J20" si="7">G55</f>
        <v>14135417</v>
      </c>
      <c r="H20" s="63">
        <f t="shared" si="7"/>
        <v>14131417</v>
      </c>
      <c r="I20" s="63">
        <f t="shared" si="7"/>
        <v>14127417</v>
      </c>
      <c r="J20" s="63">
        <f t="shared" si="7"/>
        <v>14123417</v>
      </c>
      <c r="K20" s="91" t="s">
        <v>119</v>
      </c>
    </row>
    <row r="21" spans="1:13" ht="16" x14ac:dyDescent="0.2">
      <c r="A21" t="s">
        <v>32</v>
      </c>
      <c r="B21" s="11">
        <v>1982155</v>
      </c>
      <c r="C21" s="11">
        <v>2459164</v>
      </c>
      <c r="D21" s="11">
        <v>2452040</v>
      </c>
      <c r="E21" s="11">
        <v>2561434</v>
      </c>
      <c r="F21" s="64">
        <f>E21*(1+IS!E$23)</f>
        <v>2894420.42</v>
      </c>
      <c r="G21" s="64">
        <f>F21*(1+IS!F$23)</f>
        <v>3270695.0745999995</v>
      </c>
      <c r="H21" s="64">
        <f>G21*(1+IS!G$23)</f>
        <v>3712238.9096709993</v>
      </c>
      <c r="I21" s="64">
        <f>H21*(1+IS!H$23)</f>
        <v>4213391.1624765843</v>
      </c>
      <c r="J21" s="64">
        <f>I21*(1+IS!I$23)</f>
        <v>4803265.9252233068</v>
      </c>
      <c r="K21" s="101" t="s">
        <v>117</v>
      </c>
    </row>
    <row r="22" spans="1:13" x14ac:dyDescent="0.2">
      <c r="A22" s="2" t="s">
        <v>33</v>
      </c>
      <c r="B22" s="25">
        <v>28215119</v>
      </c>
      <c r="C22" s="25">
        <v>28735415</v>
      </c>
      <c r="D22" s="25">
        <v>27817367</v>
      </c>
      <c r="E22" s="25">
        <v>28143679</v>
      </c>
      <c r="F22" s="65">
        <f>SUM(F18:F21)</f>
        <v>29907733.340000004</v>
      </c>
      <c r="G22" s="65">
        <f t="shared" ref="G22:J22" si="8">SUM(G18:G21)</f>
        <v>31901634.744199995</v>
      </c>
      <c r="H22" s="65">
        <f t="shared" si="8"/>
        <v>34242095.199666999</v>
      </c>
      <c r="I22" s="65">
        <f t="shared" si="8"/>
        <v>36899057.816622041</v>
      </c>
      <c r="J22" s="65">
        <f t="shared" si="8"/>
        <v>40027109.370949127</v>
      </c>
    </row>
    <row r="23" spans="1:13" x14ac:dyDescent="0.2">
      <c r="A23" t="s">
        <v>34</v>
      </c>
      <c r="B23" s="11"/>
      <c r="C23" s="11"/>
      <c r="D23" s="11"/>
      <c r="E23" s="11"/>
      <c r="F23" s="63"/>
      <c r="G23" s="63"/>
      <c r="H23" s="63"/>
      <c r="I23" s="63"/>
      <c r="J23" s="63"/>
    </row>
    <row r="24" spans="1:13" x14ac:dyDescent="0.2">
      <c r="A24" t="s">
        <v>84</v>
      </c>
      <c r="B24" s="11">
        <v>3447698</v>
      </c>
      <c r="C24" s="11">
        <v>4024561</v>
      </c>
      <c r="D24" s="11">
        <v>4637601</v>
      </c>
      <c r="E24" s="11">
        <v>5145172</v>
      </c>
      <c r="F24" s="63">
        <f>F61</f>
        <v>5493024.2000000002</v>
      </c>
      <c r="G24" s="63">
        <f t="shared" ref="G24:J24" si="9">G61</f>
        <v>5849572.7050000001</v>
      </c>
      <c r="H24" s="63">
        <f t="shared" si="9"/>
        <v>6215034.9226249997</v>
      </c>
      <c r="I24" s="63">
        <f t="shared" si="9"/>
        <v>6589633.6956906244</v>
      </c>
      <c r="J24" s="63">
        <f t="shared" si="9"/>
        <v>6973597.4380828897</v>
      </c>
      <c r="K24" t="s">
        <v>119</v>
      </c>
    </row>
    <row r="25" spans="1:13" x14ac:dyDescent="0.2">
      <c r="A25" t="s">
        <v>41</v>
      </c>
      <c r="B25" s="11">
        <v>0</v>
      </c>
      <c r="C25" s="11">
        <v>-824190</v>
      </c>
      <c r="D25" s="11">
        <v>-824190</v>
      </c>
      <c r="E25" s="11">
        <v>-6922200</v>
      </c>
      <c r="F25" s="63">
        <f>F66</f>
        <v>-8602200</v>
      </c>
      <c r="G25" s="63">
        <f t="shared" ref="G25:J25" si="10">G66</f>
        <v>-10282200</v>
      </c>
      <c r="H25" s="63">
        <f t="shared" si="10"/>
        <v>-11962200</v>
      </c>
      <c r="I25" s="63">
        <f t="shared" si="10"/>
        <v>-13642200</v>
      </c>
      <c r="J25" s="63">
        <f t="shared" si="10"/>
        <v>-15322200</v>
      </c>
      <c r="K25" t="s">
        <v>119</v>
      </c>
    </row>
    <row r="26" spans="1:13" x14ac:dyDescent="0.2">
      <c r="A26" t="s">
        <v>40</v>
      </c>
      <c r="B26" s="11">
        <v>44398</v>
      </c>
      <c r="C26" s="11">
        <v>-40495</v>
      </c>
      <c r="D26" s="11">
        <v>-217306</v>
      </c>
      <c r="E26" s="11">
        <v>-223945</v>
      </c>
      <c r="F26" s="63">
        <f>F77</f>
        <v>-223945</v>
      </c>
      <c r="G26" s="63">
        <f t="shared" ref="G26:J26" si="11">G77</f>
        <v>-223945</v>
      </c>
      <c r="H26" s="63">
        <f t="shared" si="11"/>
        <v>-223945</v>
      </c>
      <c r="I26" s="63">
        <f t="shared" si="11"/>
        <v>-223945</v>
      </c>
      <c r="J26" s="63">
        <f t="shared" si="11"/>
        <v>-223945</v>
      </c>
      <c r="K26" t="s">
        <v>119</v>
      </c>
    </row>
    <row r="27" spans="1:13" x14ac:dyDescent="0.2">
      <c r="A27" t="s">
        <v>35</v>
      </c>
      <c r="B27" s="12">
        <v>7573144</v>
      </c>
      <c r="C27" s="12">
        <v>12689372</v>
      </c>
      <c r="D27" s="12">
        <v>17181296</v>
      </c>
      <c r="E27" s="12">
        <v>22589286</v>
      </c>
      <c r="F27" s="64">
        <f>F72</f>
        <v>29448062.601712674</v>
      </c>
      <c r="G27" s="64">
        <f t="shared" ref="G27:J27" si="12">G72</f>
        <v>38022998.146786094</v>
      </c>
      <c r="H27" s="64">
        <f t="shared" si="12"/>
        <v>48701430.533458695</v>
      </c>
      <c r="I27" s="64">
        <f t="shared" si="12"/>
        <v>61996702.038887091</v>
      </c>
      <c r="J27" s="64">
        <f t="shared" si="12"/>
        <v>78275266.150471076</v>
      </c>
      <c r="K27" t="s">
        <v>119</v>
      </c>
    </row>
    <row r="28" spans="1:13" x14ac:dyDescent="0.2">
      <c r="A28" s="2" t="s">
        <v>36</v>
      </c>
      <c r="B28" s="13">
        <v>11065240</v>
      </c>
      <c r="C28" s="13">
        <v>15849248</v>
      </c>
      <c r="D28" s="13">
        <v>20777401</v>
      </c>
      <c r="E28" s="13">
        <v>20588313</v>
      </c>
      <c r="F28" s="68">
        <f>SUM(F24:F27)</f>
        <v>26114941.801712673</v>
      </c>
      <c r="G28" s="68">
        <f t="shared" ref="G28:J28" si="13">SUM(G24:G27)</f>
        <v>33366425.851786092</v>
      </c>
      <c r="H28" s="68">
        <f t="shared" si="13"/>
        <v>42730320.456083693</v>
      </c>
      <c r="I28" s="68">
        <f t="shared" si="13"/>
        <v>54720190.734577715</v>
      </c>
      <c r="J28" s="68">
        <f t="shared" si="13"/>
        <v>69702718.588553965</v>
      </c>
    </row>
    <row r="29" spans="1:13" ht="16" thickBot="1" x14ac:dyDescent="0.25">
      <c r="A29" s="2" t="s">
        <v>37</v>
      </c>
      <c r="B29" s="10">
        <v>39280359</v>
      </c>
      <c r="C29" s="10">
        <v>44584663</v>
      </c>
      <c r="D29" s="10">
        <v>48594768</v>
      </c>
      <c r="E29" s="10">
        <v>48731992</v>
      </c>
      <c r="F29" s="66">
        <f>F28+F22</f>
        <v>56022675.14171268</v>
      </c>
      <c r="G29" s="66">
        <f t="shared" ref="G29:J29" si="14">G28+G22</f>
        <v>65268060.595986083</v>
      </c>
      <c r="H29" s="66">
        <f t="shared" si="14"/>
        <v>76972415.655750692</v>
      </c>
      <c r="I29" s="66">
        <f t="shared" si="14"/>
        <v>91619248.551199764</v>
      </c>
      <c r="J29" s="66">
        <f t="shared" si="14"/>
        <v>109729827.95950308</v>
      </c>
    </row>
    <row r="30" spans="1:13" ht="16" thickTop="1" x14ac:dyDescent="0.2">
      <c r="E30" s="82"/>
      <c r="F30" s="82"/>
      <c r="G30" s="82"/>
      <c r="H30" s="82"/>
      <c r="I30" s="82"/>
      <c r="J30" s="82"/>
    </row>
    <row r="31" spans="1:13" x14ac:dyDescent="0.2">
      <c r="A31" s="5"/>
      <c r="E31" s="19"/>
      <c r="F31" s="20"/>
      <c r="G31" s="20"/>
      <c r="H31" s="20"/>
      <c r="I31" s="20"/>
      <c r="J31" s="20"/>
      <c r="K31" s="6"/>
    </row>
    <row r="32" spans="1:13" ht="16" x14ac:dyDescent="0.2">
      <c r="A32" s="29" t="s">
        <v>78</v>
      </c>
      <c r="B32" s="30"/>
      <c r="C32" s="30"/>
      <c r="D32" s="30"/>
      <c r="E32" s="31"/>
      <c r="F32" s="31"/>
      <c r="G32" s="31"/>
      <c r="H32" s="31"/>
      <c r="I32" s="31"/>
      <c r="J32" s="32"/>
      <c r="K32" s="55" t="s">
        <v>75</v>
      </c>
    </row>
    <row r="33" spans="1:12" x14ac:dyDescent="0.2">
      <c r="A33" s="6" t="s">
        <v>19</v>
      </c>
      <c r="E33" s="56" t="s">
        <v>76</v>
      </c>
      <c r="F33" s="5"/>
      <c r="G33" s="5"/>
      <c r="H33" s="5"/>
      <c r="I33" s="5"/>
      <c r="J33" s="5"/>
      <c r="K33" s="6"/>
    </row>
    <row r="34" spans="1:12" x14ac:dyDescent="0.2">
      <c r="A34" s="5" t="s">
        <v>51</v>
      </c>
      <c r="E34" s="19"/>
      <c r="F34" s="21">
        <f>BS!E8</f>
        <v>31658056</v>
      </c>
      <c r="G34" s="21">
        <f>BS!F8</f>
        <v>33466798.409999996</v>
      </c>
      <c r="H34" s="21">
        <f>BS!G8</f>
        <v>34060240.212799996</v>
      </c>
      <c r="I34" s="21">
        <f>BS!H8</f>
        <v>33341157.359823994</v>
      </c>
      <c r="J34" s="21">
        <f>BS!I8</f>
        <v>31027357.05008015</v>
      </c>
      <c r="K34" s="6"/>
    </row>
    <row r="35" spans="1:12" x14ac:dyDescent="0.2">
      <c r="A35" s="5" t="s">
        <v>79</v>
      </c>
      <c r="E35" s="57">
        <v>12554703</v>
      </c>
      <c r="F35" s="60">
        <f>17000000</f>
        <v>17000000</v>
      </c>
      <c r="G35" s="60">
        <f t="shared" ref="G35:J35" si="15">17000000</f>
        <v>17000000</v>
      </c>
      <c r="H35" s="60">
        <f t="shared" si="15"/>
        <v>17000000</v>
      </c>
      <c r="I35" s="60">
        <f t="shared" si="15"/>
        <v>17000000</v>
      </c>
      <c r="J35" s="60">
        <f t="shared" si="15"/>
        <v>17000000</v>
      </c>
      <c r="K35" s="5" t="s">
        <v>123</v>
      </c>
    </row>
    <row r="36" spans="1:12" x14ac:dyDescent="0.2">
      <c r="A36" s="5" t="s">
        <v>89</v>
      </c>
      <c r="E36" s="57"/>
      <c r="F36" s="61">
        <f>-IS!E20</f>
        <v>-15191257.590000002</v>
      </c>
      <c r="G36" s="61">
        <f>-IS!F20</f>
        <v>-16406558.197200002</v>
      </c>
      <c r="H36" s="61">
        <f>-IS!G20</f>
        <v>-17719082.852976002</v>
      </c>
      <c r="I36" s="61">
        <f>-IS!H20</f>
        <v>-19313800.309743844</v>
      </c>
      <c r="J36" s="61">
        <f>-IS!I20</f>
        <v>-21052042.337620791</v>
      </c>
      <c r="K36" s="5"/>
    </row>
    <row r="37" spans="1:12" ht="16" thickBot="1" x14ac:dyDescent="0.25">
      <c r="A37" s="5" t="s">
        <v>53</v>
      </c>
      <c r="E37" s="57"/>
      <c r="F37" s="92">
        <f>SUM(F34:F36)</f>
        <v>33466798.409999996</v>
      </c>
      <c r="G37" s="92">
        <f t="shared" ref="G37:I37" si="16">SUM(G34:G36)</f>
        <v>34060240.212799996</v>
      </c>
      <c r="H37" s="92">
        <f t="shared" si="16"/>
        <v>33341157.359823994</v>
      </c>
      <c r="I37" s="92">
        <f t="shared" si="16"/>
        <v>31027357.05008015</v>
      </c>
      <c r="J37" s="92">
        <f>SUM(J34:J36)</f>
        <v>26975314.712459359</v>
      </c>
      <c r="K37" s="6"/>
    </row>
    <row r="38" spans="1:12" ht="16" thickTop="1" x14ac:dyDescent="0.2">
      <c r="A38" s="5"/>
      <c r="E38" s="57"/>
      <c r="F38" s="61"/>
      <c r="G38" s="61"/>
      <c r="H38" s="61"/>
      <c r="I38" s="61"/>
      <c r="J38" s="61"/>
      <c r="K38" s="6"/>
    </row>
    <row r="39" spans="1:12" x14ac:dyDescent="0.2">
      <c r="A39" s="6" t="s">
        <v>90</v>
      </c>
      <c r="E39" s="19"/>
      <c r="F39" s="21"/>
      <c r="G39" s="21"/>
      <c r="H39" s="21"/>
      <c r="I39" s="21"/>
      <c r="J39" s="21"/>
      <c r="K39" s="6"/>
    </row>
    <row r="40" spans="1:12" x14ac:dyDescent="0.2">
      <c r="A40" s="5" t="s">
        <v>51</v>
      </c>
      <c r="E40" s="57"/>
      <c r="F40" s="60">
        <f>E5</f>
        <v>20973</v>
      </c>
      <c r="G40" s="60">
        <f>F43</f>
        <v>20973</v>
      </c>
      <c r="H40" s="60">
        <f t="shared" ref="H40:J40" si="17">G43</f>
        <v>20973</v>
      </c>
      <c r="I40" s="60">
        <f t="shared" si="17"/>
        <v>20973</v>
      </c>
      <c r="J40" s="60">
        <f t="shared" si="17"/>
        <v>20973</v>
      </c>
      <c r="K40" s="6"/>
    </row>
    <row r="41" spans="1:12" x14ac:dyDescent="0.2">
      <c r="A41" s="5" t="s">
        <v>91</v>
      </c>
      <c r="E41" s="57"/>
      <c r="F41" s="93">
        <v>0</v>
      </c>
      <c r="G41" s="93">
        <v>0</v>
      </c>
      <c r="H41" s="93">
        <v>0</v>
      </c>
      <c r="I41" s="93">
        <v>0</v>
      </c>
      <c r="J41" s="93">
        <v>0</v>
      </c>
      <c r="K41" s="6"/>
    </row>
    <row r="42" spans="1:12" x14ac:dyDescent="0.2">
      <c r="A42" s="5" t="s">
        <v>92</v>
      </c>
      <c r="E42" s="57"/>
      <c r="F42" s="94">
        <v>0</v>
      </c>
      <c r="G42" s="94">
        <v>0</v>
      </c>
      <c r="H42" s="94">
        <v>0</v>
      </c>
      <c r="I42" s="94">
        <v>0</v>
      </c>
      <c r="J42" s="94">
        <v>0</v>
      </c>
      <c r="K42" s="6"/>
    </row>
    <row r="43" spans="1:12" ht="16" thickBot="1" x14ac:dyDescent="0.25">
      <c r="A43" s="5" t="s">
        <v>53</v>
      </c>
      <c r="E43" s="57"/>
      <c r="F43" s="95">
        <f>SUM(F40:F42)</f>
        <v>20973</v>
      </c>
      <c r="G43" s="95">
        <f t="shared" ref="G43:J43" si="18">SUM(G40:G42)</f>
        <v>20973</v>
      </c>
      <c r="H43" s="95">
        <f t="shared" si="18"/>
        <v>20973</v>
      </c>
      <c r="I43" s="95">
        <f t="shared" si="18"/>
        <v>20973</v>
      </c>
      <c r="J43" s="95">
        <f t="shared" si="18"/>
        <v>20973</v>
      </c>
      <c r="K43" s="6"/>
    </row>
    <row r="44" spans="1:12" ht="16" thickTop="1" x14ac:dyDescent="0.2">
      <c r="A44" s="5"/>
      <c r="E44" s="57"/>
      <c r="F44" s="61"/>
      <c r="G44" s="61"/>
      <c r="H44" s="61"/>
      <c r="I44" s="61"/>
      <c r="J44" s="61"/>
      <c r="K44" s="6"/>
    </row>
    <row r="45" spans="1:12" x14ac:dyDescent="0.2">
      <c r="A45" s="6" t="s">
        <v>50</v>
      </c>
      <c r="E45" s="14"/>
      <c r="F45" s="14"/>
      <c r="G45" s="14"/>
      <c r="H45" s="14"/>
      <c r="I45" s="14"/>
      <c r="J45" s="14"/>
      <c r="L45" s="6"/>
    </row>
    <row r="46" spans="1:12" x14ac:dyDescent="0.2">
      <c r="A46" s="5" t="s">
        <v>51</v>
      </c>
      <c r="C46" s="1"/>
      <c r="F46" s="57">
        <f>E9</f>
        <v>1491444</v>
      </c>
      <c r="G46" s="57">
        <f t="shared" ref="G46:J46" si="19">F9</f>
        <v>1524014.8637693247</v>
      </c>
      <c r="H46" s="57">
        <f>G9</f>
        <v>1599897.930151066</v>
      </c>
      <c r="I46" s="57">
        <f t="shared" si="19"/>
        <v>1717482.7192014083</v>
      </c>
      <c r="J46" s="57">
        <f t="shared" si="19"/>
        <v>1874778.5805302793</v>
      </c>
      <c r="K46" s="6"/>
      <c r="L46" s="6"/>
    </row>
    <row r="47" spans="1:12" x14ac:dyDescent="0.2">
      <c r="A47" s="5" t="s">
        <v>52</v>
      </c>
      <c r="E47" s="57">
        <v>348552</v>
      </c>
      <c r="F47" s="60">
        <f>E47*(1+IS!E23)</f>
        <v>393863.75999999995</v>
      </c>
      <c r="G47" s="60">
        <f>F47*(1+IS!F23)</f>
        <v>445066.04879999993</v>
      </c>
      <c r="H47" s="60">
        <f>G47*(1+IS!G23)</f>
        <v>505149.96538799995</v>
      </c>
      <c r="I47" s="60">
        <f>H47*(1+IS!H23)</f>
        <v>573345.21071537992</v>
      </c>
      <c r="J47" s="60">
        <f>I47*(1+IS!I23)</f>
        <v>653613.54021553323</v>
      </c>
      <c r="K47" s="5"/>
      <c r="L47" s="6"/>
    </row>
    <row r="48" spans="1:12" x14ac:dyDescent="0.2">
      <c r="A48" s="5" t="s">
        <v>93</v>
      </c>
      <c r="F48" s="57">
        <f>-IS!E18</f>
        <v>-361292.89623067534</v>
      </c>
      <c r="G48" s="57">
        <f>-IS!F18</f>
        <v>-369182.98241825867</v>
      </c>
      <c r="H48" s="57">
        <f>-IS!G18</f>
        <v>-387565.17633765755</v>
      </c>
      <c r="I48" s="57">
        <f>-IS!H18</f>
        <v>-416049.34938650898</v>
      </c>
      <c r="J48" s="57">
        <f>-IS!I18</f>
        <v>-454153.27907116793</v>
      </c>
      <c r="K48" s="5"/>
      <c r="L48" s="6"/>
    </row>
    <row r="49" spans="1:12" ht="16" thickBot="1" x14ac:dyDescent="0.25">
      <c r="A49" s="5" t="s">
        <v>53</v>
      </c>
      <c r="E49" s="57"/>
      <c r="F49" s="92">
        <f>SUM(F46:F48)</f>
        <v>1524014.8637693247</v>
      </c>
      <c r="G49" s="92">
        <f t="shared" ref="G49:J49" si="20">SUM(G46:G48)</f>
        <v>1599897.930151066</v>
      </c>
      <c r="H49" s="92">
        <f t="shared" si="20"/>
        <v>1717482.7192014083</v>
      </c>
      <c r="I49" s="92">
        <f t="shared" si="20"/>
        <v>1874778.5805302793</v>
      </c>
      <c r="J49" s="92">
        <f t="shared" si="20"/>
        <v>2074238.8416746445</v>
      </c>
      <c r="K49" s="6"/>
      <c r="L49" s="6"/>
    </row>
    <row r="50" spans="1:12" ht="16" thickTop="1" x14ac:dyDescent="0.2">
      <c r="A50" s="5"/>
      <c r="E50" s="57"/>
      <c r="F50" s="21"/>
      <c r="G50" s="21"/>
      <c r="H50" s="21"/>
      <c r="I50" s="21"/>
      <c r="J50" s="21"/>
      <c r="K50" s="6"/>
      <c r="L50" s="6"/>
    </row>
    <row r="51" spans="1:12" x14ac:dyDescent="0.2">
      <c r="A51" s="6" t="s">
        <v>59</v>
      </c>
      <c r="E51" s="14"/>
      <c r="F51" s="14"/>
      <c r="G51" s="21"/>
      <c r="H51" s="21"/>
      <c r="I51" s="21"/>
      <c r="J51" s="21"/>
      <c r="K51" s="5"/>
      <c r="L51" s="6"/>
    </row>
    <row r="52" spans="1:12" x14ac:dyDescent="0.2">
      <c r="A52" s="5" t="s">
        <v>51</v>
      </c>
      <c r="E52" s="14"/>
      <c r="F52" s="57">
        <f>E20</f>
        <v>14143417</v>
      </c>
      <c r="G52" s="57">
        <f>F55</f>
        <v>14139417</v>
      </c>
      <c r="H52" s="57">
        <f t="shared" ref="H52:J52" si="21">G55</f>
        <v>14135417</v>
      </c>
      <c r="I52" s="57">
        <f t="shared" si="21"/>
        <v>14131417</v>
      </c>
      <c r="J52" s="57">
        <f t="shared" si="21"/>
        <v>14127417</v>
      </c>
      <c r="L52" s="6"/>
    </row>
    <row r="53" spans="1:12" x14ac:dyDescent="0.2">
      <c r="A53" s="5" t="s">
        <v>80</v>
      </c>
      <c r="E53" s="14"/>
      <c r="F53" s="57">
        <v>0</v>
      </c>
      <c r="G53" s="57">
        <v>0</v>
      </c>
      <c r="H53" s="57">
        <v>0</v>
      </c>
      <c r="I53" s="57">
        <v>0</v>
      </c>
      <c r="J53" s="57">
        <v>0</v>
      </c>
      <c r="L53" s="6"/>
    </row>
    <row r="54" spans="1:12" x14ac:dyDescent="0.2">
      <c r="A54" s="5" t="s">
        <v>54</v>
      </c>
      <c r="E54" s="14"/>
      <c r="F54" s="57">
        <f>-4000</f>
        <v>-4000</v>
      </c>
      <c r="G54" s="57">
        <f t="shared" ref="G54:J54" si="22">-4000</f>
        <v>-4000</v>
      </c>
      <c r="H54" s="57">
        <f t="shared" si="22"/>
        <v>-4000</v>
      </c>
      <c r="I54" s="57">
        <f t="shared" si="22"/>
        <v>-4000</v>
      </c>
      <c r="J54" s="57">
        <f t="shared" si="22"/>
        <v>-4000</v>
      </c>
      <c r="K54" t="s">
        <v>120</v>
      </c>
      <c r="L54" s="6"/>
    </row>
    <row r="55" spans="1:12" ht="16" thickBot="1" x14ac:dyDescent="0.25">
      <c r="A55" s="5" t="s">
        <v>53</v>
      </c>
      <c r="E55" s="14"/>
      <c r="F55" s="92">
        <f>SUM(F52:F54)</f>
        <v>14139417</v>
      </c>
      <c r="G55" s="92">
        <f t="shared" ref="G55:J55" si="23">SUM(G52:G54)</f>
        <v>14135417</v>
      </c>
      <c r="H55" s="92">
        <f t="shared" si="23"/>
        <v>14131417</v>
      </c>
      <c r="I55" s="92">
        <f t="shared" si="23"/>
        <v>14127417</v>
      </c>
      <c r="J55" s="92">
        <f t="shared" si="23"/>
        <v>14123417</v>
      </c>
      <c r="L55" s="6"/>
    </row>
    <row r="56" spans="1:12" ht="16" thickTop="1" x14ac:dyDescent="0.2">
      <c r="A56" s="5"/>
      <c r="E56" s="14"/>
      <c r="F56" s="57"/>
      <c r="G56" s="14"/>
      <c r="H56" s="14"/>
      <c r="I56" s="14"/>
      <c r="J56" s="14"/>
      <c r="L56" s="6"/>
    </row>
    <row r="57" spans="1:12" x14ac:dyDescent="0.2">
      <c r="A57" s="6" t="s">
        <v>60</v>
      </c>
      <c r="E57" s="14"/>
      <c r="F57" s="57"/>
      <c r="G57" s="14"/>
      <c r="H57" s="14"/>
      <c r="I57" s="14"/>
      <c r="J57" s="14"/>
      <c r="L57" s="6"/>
    </row>
    <row r="58" spans="1:12" x14ac:dyDescent="0.2">
      <c r="A58" s="5" t="s">
        <v>51</v>
      </c>
      <c r="E58" s="14"/>
      <c r="F58" s="57">
        <f>E24</f>
        <v>5145172</v>
      </c>
      <c r="G58" s="57">
        <f>F61</f>
        <v>5493024.2000000002</v>
      </c>
      <c r="H58" s="57">
        <f t="shared" ref="H58:J58" si="24">G61</f>
        <v>5849572.7050000001</v>
      </c>
      <c r="I58" s="57">
        <f t="shared" si="24"/>
        <v>6215034.9226249997</v>
      </c>
      <c r="J58" s="57">
        <f t="shared" si="24"/>
        <v>6589633.6956906244</v>
      </c>
      <c r="L58" s="6"/>
    </row>
    <row r="59" spans="1:12" x14ac:dyDescent="0.2">
      <c r="A59" s="5" t="s">
        <v>81</v>
      </c>
      <c r="E59" s="14">
        <v>169990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/>
      <c r="L59" s="6"/>
    </row>
    <row r="60" spans="1:12" x14ac:dyDescent="0.2">
      <c r="A60" s="5" t="s">
        <v>94</v>
      </c>
      <c r="E60" s="14"/>
      <c r="F60" s="57">
        <f>IS!E19</f>
        <v>347852.19999999995</v>
      </c>
      <c r="G60" s="57">
        <f>IS!F19</f>
        <v>356548.50499999995</v>
      </c>
      <c r="H60" s="57">
        <f>IS!G19</f>
        <v>365462.21762499993</v>
      </c>
      <c r="I60" s="57">
        <f>IS!H19</f>
        <v>374598.77306562488</v>
      </c>
      <c r="J60" s="57">
        <f>IS!I19</f>
        <v>383963.74239226547</v>
      </c>
      <c r="K60" s="5"/>
      <c r="L60" s="6"/>
    </row>
    <row r="61" spans="1:12" ht="16" thickBot="1" x14ac:dyDescent="0.25">
      <c r="A61" s="5" t="s">
        <v>53</v>
      </c>
      <c r="E61" s="14"/>
      <c r="F61" s="92">
        <f>SUM(F58:F60)</f>
        <v>5493024.2000000002</v>
      </c>
      <c r="G61" s="92">
        <f t="shared" ref="G61:J61" si="25">SUM(G58:G60)</f>
        <v>5849572.7050000001</v>
      </c>
      <c r="H61" s="92">
        <f t="shared" si="25"/>
        <v>6215034.9226249997</v>
      </c>
      <c r="I61" s="92">
        <f t="shared" si="25"/>
        <v>6589633.6956906244</v>
      </c>
      <c r="J61" s="92">
        <f t="shared" si="25"/>
        <v>6973597.4380828897</v>
      </c>
      <c r="L61" s="6"/>
    </row>
    <row r="62" spans="1:12" ht="16" thickTop="1" x14ac:dyDescent="0.2">
      <c r="A62" s="5"/>
      <c r="E62" s="14"/>
      <c r="F62" s="57"/>
      <c r="G62" s="14"/>
      <c r="H62" s="14"/>
      <c r="I62" s="14"/>
      <c r="J62" s="14"/>
      <c r="L62" s="6"/>
    </row>
    <row r="63" spans="1:12" x14ac:dyDescent="0.2">
      <c r="A63" s="6" t="s">
        <v>55</v>
      </c>
      <c r="E63" s="14"/>
      <c r="F63" s="57"/>
      <c r="G63" s="14"/>
      <c r="H63" s="14"/>
      <c r="I63" s="14"/>
      <c r="J63" s="14"/>
      <c r="L63" s="6"/>
    </row>
    <row r="64" spans="1:12" x14ac:dyDescent="0.2">
      <c r="A64" s="5" t="s">
        <v>51</v>
      </c>
      <c r="F64" s="57">
        <f>E25</f>
        <v>-6922200</v>
      </c>
      <c r="G64" s="57">
        <f>F66</f>
        <v>-8602200</v>
      </c>
      <c r="H64" s="57">
        <f t="shared" ref="H64:J64" si="26">G66</f>
        <v>-10282200</v>
      </c>
      <c r="I64" s="57">
        <f t="shared" si="26"/>
        <v>-11962200</v>
      </c>
      <c r="J64" s="57">
        <f t="shared" si="26"/>
        <v>-13642200</v>
      </c>
      <c r="L64" s="6"/>
    </row>
    <row r="65" spans="1:14" x14ac:dyDescent="0.2">
      <c r="A65" s="5" t="s">
        <v>82</v>
      </c>
      <c r="C65" s="14">
        <v>-600022</v>
      </c>
      <c r="D65" s="14"/>
      <c r="E65" s="14">
        <v>-6045347</v>
      </c>
      <c r="F65" s="57">
        <f>-1680000</f>
        <v>-1680000</v>
      </c>
      <c r="G65" s="57">
        <f t="shared" ref="G65:J65" si="27">-1680000</f>
        <v>-1680000</v>
      </c>
      <c r="H65" s="57">
        <f t="shared" si="27"/>
        <v>-1680000</v>
      </c>
      <c r="I65" s="57">
        <f t="shared" si="27"/>
        <v>-1680000</v>
      </c>
      <c r="J65" s="57">
        <f t="shared" si="27"/>
        <v>-1680000</v>
      </c>
      <c r="K65" t="s">
        <v>134</v>
      </c>
      <c r="L65" s="6"/>
      <c r="N65"/>
    </row>
    <row r="66" spans="1:14" ht="16" thickBot="1" x14ac:dyDescent="0.25">
      <c r="A66" s="5" t="s">
        <v>53</v>
      </c>
      <c r="F66" s="92">
        <f>SUM(F64:F65)</f>
        <v>-8602200</v>
      </c>
      <c r="G66" s="92">
        <f t="shared" ref="G66:J66" si="28">SUM(G64:G65)</f>
        <v>-10282200</v>
      </c>
      <c r="H66" s="92">
        <f t="shared" si="28"/>
        <v>-11962200</v>
      </c>
      <c r="I66" s="92">
        <f t="shared" si="28"/>
        <v>-13642200</v>
      </c>
      <c r="J66" s="92">
        <f t="shared" si="28"/>
        <v>-15322200</v>
      </c>
      <c r="L66" s="6"/>
    </row>
    <row r="67" spans="1:14" ht="16" thickTop="1" x14ac:dyDescent="0.2">
      <c r="A67" s="5"/>
      <c r="F67" s="57"/>
      <c r="G67" s="14"/>
      <c r="H67" s="14"/>
      <c r="I67" s="14"/>
      <c r="J67" s="14"/>
      <c r="L67" s="6"/>
    </row>
    <row r="68" spans="1:14" x14ac:dyDescent="0.2">
      <c r="A68" s="6" t="s">
        <v>56</v>
      </c>
      <c r="F68" s="57"/>
      <c r="G68" s="14"/>
      <c r="H68" s="14"/>
      <c r="I68" s="14"/>
      <c r="J68" s="14"/>
    </row>
    <row r="69" spans="1:14" x14ac:dyDescent="0.2">
      <c r="A69" s="5" t="s">
        <v>51</v>
      </c>
      <c r="F69" s="57">
        <f>E27</f>
        <v>22589286</v>
      </c>
      <c r="G69" s="57">
        <f>F27</f>
        <v>29448062.601712674</v>
      </c>
      <c r="H69" s="57">
        <f>G27</f>
        <v>38022998.146786094</v>
      </c>
      <c r="I69" s="57">
        <f t="shared" ref="I69:J69" si="29">H27</f>
        <v>48701430.533458695</v>
      </c>
      <c r="J69" s="57">
        <f t="shared" si="29"/>
        <v>61996702.038887091</v>
      </c>
    </row>
    <row r="70" spans="1:14" x14ac:dyDescent="0.2">
      <c r="A70" s="5" t="s">
        <v>95</v>
      </c>
      <c r="F70" s="57">
        <f>IS!E15</f>
        <v>6858776.6017126758</v>
      </c>
      <c r="G70" s="57">
        <f>IS!F15</f>
        <v>8574935.5450734235</v>
      </c>
      <c r="H70" s="57">
        <f>IS!G15</f>
        <v>10678432.386672597</v>
      </c>
      <c r="I70" s="57">
        <f>IS!H15</f>
        <v>13295271.505428396</v>
      </c>
      <c r="J70" s="57">
        <f>IS!I15</f>
        <v>16278564.111583982</v>
      </c>
      <c r="K70" s="5"/>
    </row>
    <row r="71" spans="1:14" x14ac:dyDescent="0.2">
      <c r="A71" s="5" t="s">
        <v>57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</row>
    <row r="72" spans="1:14" ht="16" thickBot="1" x14ac:dyDescent="0.25">
      <c r="A72" s="5" t="s">
        <v>53</v>
      </c>
      <c r="F72" s="92">
        <f>SUM(F69:F71)</f>
        <v>29448062.601712674</v>
      </c>
      <c r="G72" s="92">
        <f t="shared" ref="G72:J72" si="30">SUM(G69:G71)</f>
        <v>38022998.146786094</v>
      </c>
      <c r="H72" s="92">
        <f t="shared" si="30"/>
        <v>48701430.533458695</v>
      </c>
      <c r="I72" s="92">
        <f t="shared" si="30"/>
        <v>61996702.038887091</v>
      </c>
      <c r="J72" s="92">
        <f t="shared" si="30"/>
        <v>78275266.150471076</v>
      </c>
    </row>
    <row r="73" spans="1:14" ht="16" thickTop="1" x14ac:dyDescent="0.2">
      <c r="F73" s="14"/>
      <c r="G73" s="14"/>
      <c r="H73" s="14"/>
      <c r="I73" s="14"/>
      <c r="J73" s="14"/>
    </row>
    <row r="74" spans="1:14" x14ac:dyDescent="0.2">
      <c r="A74" s="6" t="s">
        <v>96</v>
      </c>
      <c r="F74" s="57"/>
      <c r="G74" s="14"/>
      <c r="H74" s="14"/>
      <c r="I74" s="14"/>
      <c r="J74" s="14"/>
    </row>
    <row r="75" spans="1:14" x14ac:dyDescent="0.2">
      <c r="A75" s="5" t="s">
        <v>51</v>
      </c>
      <c r="F75" s="57">
        <f>E26</f>
        <v>-223945</v>
      </c>
      <c r="G75" s="57">
        <f>F77</f>
        <v>-223945</v>
      </c>
      <c r="H75" s="57">
        <f t="shared" ref="H75:J75" si="31">G77</f>
        <v>-223945</v>
      </c>
      <c r="I75" s="57">
        <f t="shared" si="31"/>
        <v>-223945</v>
      </c>
      <c r="J75" s="57">
        <f t="shared" si="31"/>
        <v>-223945</v>
      </c>
    </row>
    <row r="76" spans="1:14" x14ac:dyDescent="0.2">
      <c r="A76" s="5" t="s">
        <v>97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t="s">
        <v>122</v>
      </c>
    </row>
    <row r="77" spans="1:14" ht="16" thickBot="1" x14ac:dyDescent="0.25">
      <c r="A77" s="5" t="s">
        <v>53</v>
      </c>
      <c r="F77" s="92">
        <f>SUM(F75:F76)</f>
        <v>-223945</v>
      </c>
      <c r="G77" s="92">
        <f t="shared" ref="G77:J77" si="32">SUM(G75:G76)</f>
        <v>-223945</v>
      </c>
      <c r="H77" s="92">
        <f t="shared" si="32"/>
        <v>-223945</v>
      </c>
      <c r="I77" s="92">
        <f t="shared" si="32"/>
        <v>-223945</v>
      </c>
      <c r="J77" s="92">
        <f t="shared" si="32"/>
        <v>-223945</v>
      </c>
    </row>
    <row r="78" spans="1:14" ht="16" thickTop="1" x14ac:dyDescent="0.2"/>
  </sheetData>
  <mergeCells count="1">
    <mergeCell ref="A1:A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9B52-081A-4ED7-AC12-9754611A832A}">
  <dimension ref="A1:I35"/>
  <sheetViews>
    <sheetView zoomScale="109" zoomScaleNormal="150" workbookViewId="0">
      <selection activeCell="D18" sqref="D18"/>
    </sheetView>
  </sheetViews>
  <sheetFormatPr baseColWidth="10" defaultColWidth="8.83203125" defaultRowHeight="15" x14ac:dyDescent="0.2"/>
  <cols>
    <col min="1" max="1" width="36.6640625" style="5" customWidth="1"/>
    <col min="2" max="2" width="13.6640625" style="5" customWidth="1"/>
    <col min="3" max="4" width="13.1640625" style="5" customWidth="1"/>
    <col min="5" max="6" width="12.6640625" style="5" bestFit="1" customWidth="1"/>
  </cols>
  <sheetData>
    <row r="1" spans="1:9" ht="27.75" customHeight="1" x14ac:dyDescent="0.2">
      <c r="A1" s="62" t="s">
        <v>61</v>
      </c>
      <c r="B1" s="70" t="s">
        <v>49</v>
      </c>
      <c r="C1" s="70"/>
      <c r="D1" s="71"/>
      <c r="E1" s="71"/>
      <c r="F1" s="71"/>
      <c r="G1" s="69"/>
      <c r="H1" s="69"/>
      <c r="I1" s="69"/>
    </row>
    <row r="2" spans="1:9" x14ac:dyDescent="0.2">
      <c r="A2" s="62"/>
      <c r="B2" s="52">
        <v>2024</v>
      </c>
      <c r="C2" s="52">
        <v>2025</v>
      </c>
      <c r="D2" s="52">
        <v>2026</v>
      </c>
      <c r="E2" s="52">
        <v>2027</v>
      </c>
      <c r="F2" s="52">
        <v>2028</v>
      </c>
    </row>
    <row r="3" spans="1:9" x14ac:dyDescent="0.2">
      <c r="A3" s="5" t="s">
        <v>126</v>
      </c>
      <c r="B3" s="21">
        <f>BS!F70</f>
        <v>6858776.6017126758</v>
      </c>
      <c r="C3" s="21">
        <f>BS!G70</f>
        <v>8574935.5450734235</v>
      </c>
      <c r="D3" s="21">
        <f>BS!H70</f>
        <v>10678432.386672597</v>
      </c>
      <c r="E3" s="21">
        <f>BS!I70</f>
        <v>13295271.505428396</v>
      </c>
      <c r="F3" s="21">
        <f>BS!J70</f>
        <v>16278564.111583982</v>
      </c>
    </row>
    <row r="4" spans="1:9" x14ac:dyDescent="0.2">
      <c r="A4" s="5" t="s">
        <v>130</v>
      </c>
      <c r="B4" s="21">
        <f>-BS!F48</f>
        <v>361292.89623067534</v>
      </c>
      <c r="C4" s="21">
        <f>-BS!G48</f>
        <v>369182.98241825867</v>
      </c>
      <c r="D4" s="21">
        <f>-BS!H48</f>
        <v>387565.17633765755</v>
      </c>
      <c r="E4" s="21">
        <f>-BS!I48</f>
        <v>416049.34938650898</v>
      </c>
      <c r="F4" s="21">
        <f>-BS!J48</f>
        <v>454153.27907116793</v>
      </c>
    </row>
    <row r="5" spans="1:9" x14ac:dyDescent="0.2">
      <c r="A5" s="5" t="s">
        <v>127</v>
      </c>
      <c r="B5" s="21">
        <f>BS!F60</f>
        <v>347852.19999999995</v>
      </c>
      <c r="C5" s="21">
        <f>BS!G60</f>
        <v>356548.50499999995</v>
      </c>
      <c r="D5" s="21">
        <f>BS!H60</f>
        <v>365462.21762499993</v>
      </c>
      <c r="E5" s="21">
        <f>BS!I60</f>
        <v>374598.77306562488</v>
      </c>
      <c r="F5" s="21">
        <f>BS!J60</f>
        <v>383963.74239226547</v>
      </c>
    </row>
    <row r="6" spans="1:9" x14ac:dyDescent="0.2">
      <c r="A6" s="5" t="s">
        <v>151</v>
      </c>
      <c r="B6" s="21">
        <f>-BS!F36</f>
        <v>15191257.590000002</v>
      </c>
      <c r="C6" s="21">
        <f>-BS!G36</f>
        <v>16406558.197200002</v>
      </c>
      <c r="D6" s="21">
        <f>-BS!H36</f>
        <v>17719082.852976002</v>
      </c>
      <c r="E6" s="21">
        <f>-BS!I36</f>
        <v>19313800.309743844</v>
      </c>
      <c r="F6" s="21">
        <f>-BS!J36</f>
        <v>21052042.337620791</v>
      </c>
    </row>
    <row r="7" spans="1:9" x14ac:dyDescent="0.2">
      <c r="A7" s="5" t="s">
        <v>152</v>
      </c>
    </row>
    <row r="8" spans="1:9" x14ac:dyDescent="0.2">
      <c r="A8" s="5" t="str">
        <f>BS!A6</f>
        <v>Other current assets</v>
      </c>
      <c r="B8" s="5">
        <f>BS!E6-BS!F6</f>
        <v>-361432.10999999987</v>
      </c>
      <c r="C8" s="5">
        <f>BS!F6-BS!G6</f>
        <v>-408418.28429999948</v>
      </c>
      <c r="D8" s="5">
        <f>BS!G6-BS!H6</f>
        <v>-479263.14823050005</v>
      </c>
      <c r="E8" s="5">
        <f>BS!H6-BS!I6</f>
        <v>-543963.67324161716</v>
      </c>
      <c r="F8" s="5">
        <f>BS!I6-BS!J6</f>
        <v>-640265.39020809717</v>
      </c>
    </row>
    <row r="9" spans="1:9" x14ac:dyDescent="0.2">
      <c r="A9" s="5" t="str">
        <f>BS!A10</f>
        <v>Other non-current assets</v>
      </c>
      <c r="B9" s="21">
        <f>BS!E10-BS!F10</f>
        <v>-736366.66999999899</v>
      </c>
      <c r="C9" s="21">
        <f>BS!F10-BS!G10</f>
        <v>-832094.33709999919</v>
      </c>
      <c r="D9" s="21">
        <f>BS!G10-BS!H10</f>
        <v>-976430.70095849968</v>
      </c>
      <c r="E9" s="21">
        <f>BS!H10-BS!I10</f>
        <v>-1108248.8455878971</v>
      </c>
      <c r="F9" s="21">
        <f>BS!I10-BS!J10</f>
        <v>-1304449.937510496</v>
      </c>
    </row>
    <row r="10" spans="1:9" x14ac:dyDescent="0.2">
      <c r="A10" s="5" t="str">
        <f>BS!A13</f>
        <v>Current content liabilities</v>
      </c>
      <c r="B10" s="21">
        <f>BS!F13-BS!E13</f>
        <v>580641.09999999963</v>
      </c>
      <c r="C10" s="21">
        <f>BS!G13-BS!F13</f>
        <v>656124.44299999904</v>
      </c>
      <c r="D10" s="21">
        <f>BS!H13-BS!G13</f>
        <v>769936.79830500018</v>
      </c>
      <c r="E10" s="21">
        <f>BS!I13-BS!H13</f>
        <v>873878.26607617456</v>
      </c>
      <c r="F10" s="21">
        <f>BS!J13-BS!I13</f>
        <v>1028587.0850333655</v>
      </c>
    </row>
    <row r="11" spans="1:9" x14ac:dyDescent="0.2">
      <c r="A11" s="5" t="str">
        <f>BS!A14</f>
        <v>Accounts payable</v>
      </c>
      <c r="B11" s="21">
        <f>BS!F14-BS!E14</f>
        <v>97163.559999999939</v>
      </c>
      <c r="C11" s="21">
        <f>BS!G14-BS!F14</f>
        <v>109794.82279999985</v>
      </c>
      <c r="D11" s="21">
        <f>BS!H14-BS!G14</f>
        <v>128840.00167799997</v>
      </c>
      <c r="E11" s="21">
        <f>BS!I14-BS!H14</f>
        <v>146233.40190452989</v>
      </c>
      <c r="F11" s="21">
        <f>BS!J14-BS!I14</f>
        <v>172122.13009355427</v>
      </c>
    </row>
    <row r="12" spans="1:9" x14ac:dyDescent="0.2">
      <c r="A12" s="5" t="str">
        <f>BS!A15</f>
        <v>Accrued expenses and other liabilities</v>
      </c>
      <c r="B12" s="21">
        <f>BS!F15-BS!E15</f>
        <v>234514.79999999981</v>
      </c>
      <c r="C12" s="21">
        <f>BS!G15-BS!F15</f>
        <v>265001.72399999993</v>
      </c>
      <c r="D12" s="21">
        <f>BS!H15-BS!G15</f>
        <v>310969.33074000012</v>
      </c>
      <c r="E12" s="21">
        <f>BS!I15-BS!H15</f>
        <v>352950.1903899</v>
      </c>
      <c r="F12" s="21">
        <f>BS!J15-BS!I15</f>
        <v>415435.44631818635</v>
      </c>
    </row>
    <row r="13" spans="1:9" ht="18" customHeight="1" x14ac:dyDescent="0.2">
      <c r="A13" s="5" t="str">
        <f>BS!A16</f>
        <v>Deferred revenue</v>
      </c>
      <c r="B13" s="21">
        <f>BS!F16-BS!E16</f>
        <v>187585.96999999974</v>
      </c>
      <c r="C13" s="21">
        <f>BS!G16-BS!F16</f>
        <v>211972.14609999978</v>
      </c>
      <c r="D13" s="21">
        <f>BS!H16-BS!G16</f>
        <v>248741.16067350004</v>
      </c>
      <c r="E13" s="21">
        <f>BS!I16-BS!H16</f>
        <v>282321.21736442228</v>
      </c>
      <c r="F13" s="21">
        <f>BS!J16-BS!I16</f>
        <v>332302.52917930949</v>
      </c>
    </row>
    <row r="14" spans="1:9" x14ac:dyDescent="0.2">
      <c r="A14" s="5" t="str">
        <f>BS!A19</f>
        <v>Non-current content liabilities</v>
      </c>
      <c r="B14" s="20">
        <f>BS!F19-BS!E19</f>
        <v>335162.48999999976</v>
      </c>
      <c r="C14" s="20">
        <f>BS!G19-BS!F19</f>
        <v>378733.61369999964</v>
      </c>
      <c r="D14" s="20">
        <f>BS!H19-BS!G19</f>
        <v>444429.32899949979</v>
      </c>
      <c r="E14" s="20">
        <f>BS!I19-BS!H19</f>
        <v>504427.2884144322</v>
      </c>
      <c r="F14" s="20">
        <f>BS!J19-BS!I19</f>
        <v>593729.60095595103</v>
      </c>
    </row>
    <row r="15" spans="1:9" x14ac:dyDescent="0.2">
      <c r="A15" s="26" t="str">
        <f>BS!A21</f>
        <v>Other non-current liabilities</v>
      </c>
      <c r="B15" s="20">
        <f>BS!F21-BS!E21</f>
        <v>332986.41999999993</v>
      </c>
      <c r="C15" s="20">
        <f>BS!G21-BS!F21</f>
        <v>376274.65459999954</v>
      </c>
      <c r="D15" s="20">
        <f>BS!H21-BS!G21</f>
        <v>441543.8350709998</v>
      </c>
      <c r="E15" s="20">
        <f>BS!I21-BS!H21</f>
        <v>501152.25280558504</v>
      </c>
      <c r="F15" s="20">
        <f>BS!J21-BS!I21</f>
        <v>589874.76274672244</v>
      </c>
    </row>
    <row r="16" spans="1:9" x14ac:dyDescent="0.2">
      <c r="A16" s="5" t="s">
        <v>128</v>
      </c>
      <c r="B16" s="21">
        <f>-BS!F35</f>
        <v>-17000000</v>
      </c>
      <c r="C16" s="21">
        <f>-BS!G35</f>
        <v>-17000000</v>
      </c>
      <c r="D16" s="21">
        <f>-BS!H35</f>
        <v>-17000000</v>
      </c>
      <c r="E16" s="21">
        <f>-BS!I35</f>
        <v>-17000000</v>
      </c>
      <c r="F16" s="21">
        <f>-BS!J35</f>
        <v>-17000000</v>
      </c>
    </row>
    <row r="17" spans="1:6" x14ac:dyDescent="0.2">
      <c r="A17" s="6" t="s">
        <v>62</v>
      </c>
      <c r="B17" s="28">
        <f>SUM(B3:B16)</f>
        <v>6429434.8479433507</v>
      </c>
      <c r="C17" s="28">
        <f>SUM(C3:C16)</f>
        <v>9464614.0124916807</v>
      </c>
      <c r="D17" s="28">
        <f>SUM(D3:D16)</f>
        <v>13039309.23988926</v>
      </c>
      <c r="E17" s="28">
        <f>SUM(E3:E16)</f>
        <v>17408470.035749905</v>
      </c>
      <c r="F17" s="28">
        <f>SUM(F3:F16)</f>
        <v>22356059.697276697</v>
      </c>
    </row>
    <row r="18" spans="1:6" x14ac:dyDescent="0.2">
      <c r="A18" s="5" t="s">
        <v>153</v>
      </c>
      <c r="B18" s="118">
        <f>-BS!F47</f>
        <v>-393863.75999999995</v>
      </c>
      <c r="C18" s="118">
        <f>-BS!G47</f>
        <v>-445066.04879999993</v>
      </c>
      <c r="D18" s="118">
        <f>-BS!H47</f>
        <v>-505149.96538799995</v>
      </c>
      <c r="E18" s="118">
        <f>-BS!I47</f>
        <v>-573345.21071537992</v>
      </c>
      <c r="F18" s="118">
        <f>-BS!J47</f>
        <v>-653613.54021553323</v>
      </c>
    </row>
    <row r="19" spans="1:6" x14ac:dyDescent="0.2">
      <c r="A19" s="5" t="s">
        <v>129</v>
      </c>
      <c r="B19" s="27">
        <f>-BS!F41</f>
        <v>0</v>
      </c>
      <c r="C19" s="27">
        <f>-BS!G41</f>
        <v>0</v>
      </c>
      <c r="D19" s="27">
        <f>-BS!H41</f>
        <v>0</v>
      </c>
      <c r="E19" s="27">
        <f>-BS!I41</f>
        <v>0</v>
      </c>
      <c r="F19" s="27">
        <f>-BS!J41</f>
        <v>0</v>
      </c>
    </row>
    <row r="20" spans="1:6" x14ac:dyDescent="0.2">
      <c r="A20" s="6" t="s">
        <v>63</v>
      </c>
      <c r="B20" s="28">
        <f>SUM(B18:B19)</f>
        <v>-393863.75999999995</v>
      </c>
      <c r="C20" s="28">
        <f t="shared" ref="C20:F20" si="0">SUM(C18:C19)</f>
        <v>-445066.04879999993</v>
      </c>
      <c r="D20" s="28">
        <f t="shared" si="0"/>
        <v>-505149.96538799995</v>
      </c>
      <c r="E20" s="28">
        <f t="shared" si="0"/>
        <v>-573345.21071537992</v>
      </c>
      <c r="F20" s="28">
        <f t="shared" si="0"/>
        <v>-653613.54021553323</v>
      </c>
    </row>
    <row r="21" spans="1:6" x14ac:dyDescent="0.2">
      <c r="A21" s="5" t="s">
        <v>157</v>
      </c>
      <c r="B21" s="5">
        <f>BS!F54</f>
        <v>-4000</v>
      </c>
      <c r="C21" s="5">
        <f>BS!G54</f>
        <v>-4000</v>
      </c>
      <c r="D21" s="5">
        <f>BS!H54</f>
        <v>-4000</v>
      </c>
      <c r="E21" s="5">
        <f>BS!I54</f>
        <v>-4000</v>
      </c>
      <c r="F21" s="5">
        <f>BS!J54</f>
        <v>-4000</v>
      </c>
    </row>
    <row r="22" spans="1:6" x14ac:dyDescent="0.2">
      <c r="A22" s="5" t="s">
        <v>154</v>
      </c>
      <c r="B22" s="20">
        <f>BS!F59</f>
        <v>0</v>
      </c>
      <c r="C22" s="20">
        <f>BS!G59</f>
        <v>0</v>
      </c>
      <c r="D22" s="20">
        <f>BS!H59</f>
        <v>0</v>
      </c>
      <c r="E22" s="20">
        <f>BS!I59</f>
        <v>0</v>
      </c>
      <c r="F22" s="20">
        <f>BS!J59</f>
        <v>0</v>
      </c>
    </row>
    <row r="23" spans="1:6" x14ac:dyDescent="0.2">
      <c r="A23" s="5" t="s">
        <v>155</v>
      </c>
      <c r="B23" s="20">
        <f>BS!F65</f>
        <v>-1680000</v>
      </c>
      <c r="C23" s="20">
        <f>BS!G65</f>
        <v>-1680000</v>
      </c>
      <c r="D23" s="20">
        <f>BS!H65</f>
        <v>-1680000</v>
      </c>
      <c r="E23" s="20">
        <f>BS!I65</f>
        <v>-1680000</v>
      </c>
      <c r="F23" s="20">
        <f>BS!J65</f>
        <v>-1680000</v>
      </c>
    </row>
    <row r="24" spans="1:6" x14ac:dyDescent="0.2">
      <c r="A24" s="5" t="s">
        <v>156</v>
      </c>
      <c r="B24" s="20">
        <f>BS!E17-BS!F17</f>
        <v>0</v>
      </c>
      <c r="C24" s="20">
        <f>BS!F17-BS!G17</f>
        <v>0</v>
      </c>
      <c r="D24" s="20">
        <f>BS!G17-BS!H17</f>
        <v>0</v>
      </c>
      <c r="E24" s="20">
        <f>BS!H17-BS!I17</f>
        <v>0</v>
      </c>
      <c r="F24" s="20">
        <f>BS!I17-BS!J17</f>
        <v>0</v>
      </c>
    </row>
    <row r="25" spans="1:6" x14ac:dyDescent="0.2">
      <c r="A25" s="5" t="s">
        <v>158</v>
      </c>
      <c r="B25" s="27">
        <f>BS!F53</f>
        <v>0</v>
      </c>
      <c r="C25" s="27">
        <f>BS!G53</f>
        <v>0</v>
      </c>
      <c r="D25" s="27">
        <f>BS!H53</f>
        <v>0</v>
      </c>
      <c r="E25" s="27">
        <f>BS!I53</f>
        <v>0</v>
      </c>
      <c r="F25" s="27">
        <f>BS!J53</f>
        <v>0</v>
      </c>
    </row>
    <row r="26" spans="1:6" x14ac:dyDescent="0.2">
      <c r="A26" s="6" t="s">
        <v>64</v>
      </c>
      <c r="B26" s="78">
        <f>SUM(B21:B25)</f>
        <v>-1684000</v>
      </c>
      <c r="C26" s="78">
        <f t="shared" ref="C26:F26" si="1">SUM(C21:C25)</f>
        <v>-1684000</v>
      </c>
      <c r="D26" s="78">
        <f t="shared" si="1"/>
        <v>-1684000</v>
      </c>
      <c r="E26" s="78">
        <f t="shared" si="1"/>
        <v>-1684000</v>
      </c>
      <c r="F26" s="78">
        <f t="shared" si="1"/>
        <v>-1684000</v>
      </c>
    </row>
    <row r="28" spans="1:6" ht="16" thickBot="1" x14ac:dyDescent="0.25">
      <c r="A28" s="6" t="s">
        <v>65</v>
      </c>
      <c r="B28" s="79">
        <f>B17+B20+B26</f>
        <v>4351571.0879433509</v>
      </c>
      <c r="C28" s="79">
        <f t="shared" ref="C28:F28" si="2">C17+C20+C26</f>
        <v>7335547.9636916816</v>
      </c>
      <c r="D28" s="79">
        <f t="shared" si="2"/>
        <v>10850159.27450126</v>
      </c>
      <c r="E28" s="79">
        <f t="shared" si="2"/>
        <v>15151124.825034525</v>
      </c>
      <c r="F28" s="79">
        <f t="shared" si="2"/>
        <v>20018446.157061163</v>
      </c>
    </row>
    <row r="29" spans="1:6" ht="16" thickTop="1" x14ac:dyDescent="0.2">
      <c r="B29" s="20">
        <f>BS!F4-BS!E4</f>
        <v>4351571.0879433602</v>
      </c>
      <c r="C29" s="20">
        <f>BS!G4-BS!F4</f>
        <v>7335547.9636916593</v>
      </c>
      <c r="D29" s="20">
        <f>BS!H4-BS!G4</f>
        <v>10850159.274501272</v>
      </c>
      <c r="E29" s="20">
        <f>BS!I4-BS!H4</f>
        <v>15151124.825034536</v>
      </c>
      <c r="F29" s="20">
        <f>BS!J4-BS!I4</f>
        <v>20018446.157061152</v>
      </c>
    </row>
    <row r="30" spans="1:6" x14ac:dyDescent="0.2">
      <c r="B30" s="20"/>
      <c r="C30" s="20"/>
      <c r="D30" s="20"/>
      <c r="E30" s="20"/>
      <c r="F30" s="20"/>
    </row>
    <row r="31" spans="1:6" x14ac:dyDescent="0.2">
      <c r="B31" s="20"/>
    </row>
    <row r="32" spans="1:6" x14ac:dyDescent="0.2">
      <c r="B32" s="20"/>
      <c r="C32" s="20"/>
      <c r="D32" s="20"/>
      <c r="E32" s="20"/>
      <c r="F32" s="20"/>
    </row>
    <row r="33" spans="1:6" x14ac:dyDescent="0.2">
      <c r="A33" s="6"/>
      <c r="B33" s="20"/>
      <c r="C33" s="20"/>
      <c r="D33" s="20"/>
      <c r="E33" s="20"/>
      <c r="F33" s="20"/>
    </row>
    <row r="34" spans="1:6" x14ac:dyDescent="0.2">
      <c r="B34" s="20"/>
      <c r="C34" s="20"/>
      <c r="D34" s="20"/>
      <c r="E34" s="20"/>
      <c r="F34" s="20"/>
    </row>
    <row r="35" spans="1:6" x14ac:dyDescent="0.2">
      <c r="A35" s="6"/>
      <c r="B35" s="20"/>
      <c r="C35" s="20"/>
      <c r="D35" s="20"/>
      <c r="E35" s="20"/>
      <c r="F35" s="2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topLeftCell="F9" workbookViewId="0">
      <selection activeCell="C32" sqref="C32"/>
    </sheetView>
  </sheetViews>
  <sheetFormatPr baseColWidth="10" defaultColWidth="8.83203125" defaultRowHeight="15" x14ac:dyDescent="0.2"/>
  <cols>
    <col min="1" max="1" width="32.33203125" customWidth="1"/>
    <col min="2" max="2" width="13.33203125" customWidth="1"/>
    <col min="3" max="7" width="13.1640625" customWidth="1"/>
    <col min="8" max="8" width="12.1640625" customWidth="1"/>
    <col min="9" max="9" width="4.33203125" customWidth="1"/>
    <col min="10" max="10" width="11" customWidth="1"/>
    <col min="11" max="11" width="11.5" customWidth="1"/>
    <col min="12" max="15" width="11.1640625" bestFit="1" customWidth="1"/>
  </cols>
  <sheetData>
    <row r="1" spans="1:8" x14ac:dyDescent="0.2">
      <c r="A1" s="158"/>
      <c r="B1" s="158"/>
      <c r="C1" s="158"/>
      <c r="D1" s="158"/>
      <c r="E1" s="158"/>
      <c r="F1" s="158"/>
      <c r="G1" s="158"/>
    </row>
    <row r="2" spans="1:8" x14ac:dyDescent="0.2">
      <c r="A2" s="158"/>
      <c r="B2" s="158"/>
      <c r="C2" s="158"/>
      <c r="D2" s="158"/>
      <c r="E2" s="158"/>
      <c r="F2" s="158"/>
      <c r="G2" s="158"/>
    </row>
    <row r="3" spans="1:8" x14ac:dyDescent="0.2">
      <c r="A3" s="33" t="s">
        <v>77</v>
      </c>
      <c r="B3" s="34"/>
      <c r="C3" s="34"/>
      <c r="D3" s="34"/>
      <c r="E3" s="34"/>
      <c r="F3" s="34"/>
      <c r="G3" s="35"/>
    </row>
    <row r="4" spans="1:8" x14ac:dyDescent="0.2">
      <c r="A4" s="44" t="s">
        <v>68</v>
      </c>
      <c r="B4" s="50"/>
      <c r="C4" s="53">
        <v>2024</v>
      </c>
      <c r="D4" s="53">
        <v>2025</v>
      </c>
      <c r="E4" s="53">
        <v>2026</v>
      </c>
      <c r="F4" s="53">
        <v>2027</v>
      </c>
      <c r="G4" s="54">
        <v>2028</v>
      </c>
    </row>
    <row r="5" spans="1:8" x14ac:dyDescent="0.2">
      <c r="A5" s="37" t="s">
        <v>66</v>
      </c>
      <c r="B5" s="82"/>
      <c r="C5" s="82">
        <f>IS!E15-IS!E14-IS!E11</f>
        <v>8597623.5565092023</v>
      </c>
      <c r="D5" s="82">
        <f>IS!F15-IS!F14-IS!F11</f>
        <v>10576941.925812844</v>
      </c>
      <c r="E5" s="82">
        <f>IS!G15-IS!G14-IS!G11</f>
        <v>13003036.009001279</v>
      </c>
      <c r="F5" s="82">
        <f>IS!H15-IS!H14-IS!H11</f>
        <v>16021245.822116872</v>
      </c>
      <c r="G5" s="82">
        <f>IS!I15-IS!I14-IS!I11</f>
        <v>19462142.181483701</v>
      </c>
    </row>
    <row r="6" spans="1:8" ht="16" thickBot="1" x14ac:dyDescent="0.25">
      <c r="A6" s="37" t="s">
        <v>135</v>
      </c>
      <c r="B6" s="22"/>
      <c r="C6" s="104">
        <f>-C5*IS!E33</f>
        <v>-1143804.2580811256</v>
      </c>
      <c r="D6" s="104">
        <f>-D5*IS!F33</f>
        <v>-1407127.3454467817</v>
      </c>
      <c r="E6" s="104">
        <f>-E5*IS!G33</f>
        <v>-1729888.2484588053</v>
      </c>
      <c r="F6" s="104">
        <f>-F5*IS!H33</f>
        <v>-2131422.6042413618</v>
      </c>
      <c r="G6" s="104">
        <f>-G5*IS!I33</f>
        <v>-2589190.0188753647</v>
      </c>
    </row>
    <row r="7" spans="1:8" x14ac:dyDescent="0.2">
      <c r="A7" s="36" t="s">
        <v>136</v>
      </c>
      <c r="B7" s="82"/>
      <c r="C7" s="82">
        <f>SUM(C5:C6)</f>
        <v>7453819.2984280773</v>
      </c>
      <c r="D7" s="82">
        <f t="shared" ref="D7:G7" si="0">SUM(D5:D6)</f>
        <v>9169814.580366062</v>
      </c>
      <c r="E7" s="82">
        <f t="shared" si="0"/>
        <v>11273147.760542475</v>
      </c>
      <c r="F7" s="82">
        <f t="shared" si="0"/>
        <v>13889823.21787551</v>
      </c>
      <c r="G7" s="82">
        <f t="shared" si="0"/>
        <v>16872952.162608337</v>
      </c>
      <c r="H7" t="s">
        <v>142</v>
      </c>
    </row>
    <row r="8" spans="1:8" x14ac:dyDescent="0.2">
      <c r="A8" s="37" t="s">
        <v>137</v>
      </c>
      <c r="C8" s="82">
        <f>'SCF forecast'!B4</f>
        <v>361292.89623067534</v>
      </c>
      <c r="D8" s="82">
        <f>'SCF forecast'!C4</f>
        <v>369182.98241825867</v>
      </c>
      <c r="E8" s="82">
        <f>'SCF forecast'!D4</f>
        <v>387565.17633765755</v>
      </c>
      <c r="F8" s="82">
        <f>'SCF forecast'!E4</f>
        <v>416049.34938650898</v>
      </c>
      <c r="G8" s="82">
        <f>'SCF forecast'!F4</f>
        <v>454153.27907116793</v>
      </c>
    </row>
    <row r="9" spans="1:8" x14ac:dyDescent="0.2">
      <c r="A9" s="37" t="s">
        <v>138</v>
      </c>
      <c r="C9" s="82">
        <f>'SCF forecast'!B5</f>
        <v>347852.19999999995</v>
      </c>
      <c r="D9" s="82">
        <f>'SCF forecast'!C5</f>
        <v>356548.50499999995</v>
      </c>
      <c r="E9" s="82">
        <f>'SCF forecast'!D5</f>
        <v>365462.21762499993</v>
      </c>
      <c r="F9" s="82">
        <f>'SCF forecast'!E5</f>
        <v>374598.77306562488</v>
      </c>
      <c r="G9" s="82">
        <f>'SCF forecast'!F5</f>
        <v>383963.74239226547</v>
      </c>
    </row>
    <row r="10" spans="1:8" x14ac:dyDescent="0.2">
      <c r="A10" s="37" t="s">
        <v>141</v>
      </c>
      <c r="C10" s="82">
        <f>'SCF forecast'!B6</f>
        <v>15191257.590000002</v>
      </c>
      <c r="D10" s="82">
        <f>'SCF forecast'!C6</f>
        <v>16406558.197200002</v>
      </c>
      <c r="E10" s="82">
        <f>'SCF forecast'!D6</f>
        <v>17719082.852976002</v>
      </c>
      <c r="F10" s="82">
        <f>'SCF forecast'!E6</f>
        <v>19313800.309743844</v>
      </c>
      <c r="G10" s="82">
        <f>'SCF forecast'!F6</f>
        <v>21052042.337620791</v>
      </c>
    </row>
    <row r="11" spans="1:8" ht="16" thickBot="1" x14ac:dyDescent="0.25">
      <c r="A11" s="37" t="s">
        <v>139</v>
      </c>
      <c r="C11" s="103">
        <f>SUM('SCF forecast'!B8:B16)</f>
        <v>-16329744.439999999</v>
      </c>
      <c r="D11" s="103">
        <f>SUM('SCF forecast'!C8:C16)</f>
        <v>-16242611.217200002</v>
      </c>
      <c r="E11" s="103">
        <f>SUM('SCF forecast'!D8:D16)</f>
        <v>-16111233.393722</v>
      </c>
      <c r="F11" s="103">
        <f>SUM('SCF forecast'!E8:E16)</f>
        <v>-15991249.90187447</v>
      </c>
      <c r="G11" s="103">
        <f>SUM('SCF forecast'!F8:F16)</f>
        <v>-15812663.773391504</v>
      </c>
    </row>
    <row r="12" spans="1:8" x14ac:dyDescent="0.2">
      <c r="A12" s="37" t="s">
        <v>140</v>
      </c>
      <c r="C12" s="82">
        <f>SUM(C7:C11)</f>
        <v>7024477.5446587559</v>
      </c>
      <c r="D12" s="82">
        <f t="shared" ref="D12:G12" si="1">SUM(D7:D11)</f>
        <v>10059493.047784323</v>
      </c>
      <c r="E12" s="82">
        <f t="shared" si="1"/>
        <v>13634024.613759136</v>
      </c>
      <c r="F12" s="82">
        <f t="shared" si="1"/>
        <v>18003021.748197019</v>
      </c>
      <c r="G12" s="82">
        <f t="shared" si="1"/>
        <v>22950447.748301055</v>
      </c>
    </row>
    <row r="13" spans="1:8" x14ac:dyDescent="0.2">
      <c r="A13" s="37" t="s">
        <v>143</v>
      </c>
      <c r="C13" s="72">
        <f>'SCF forecast'!B18</f>
        <v>-393863.75999999995</v>
      </c>
      <c r="D13" s="72">
        <f>'SCF forecast'!C18</f>
        <v>-445066.04879999993</v>
      </c>
      <c r="E13" s="72">
        <f>'SCF forecast'!D18</f>
        <v>-505149.96538799995</v>
      </c>
      <c r="F13" s="72">
        <f>'SCF forecast'!E18</f>
        <v>-573345.21071537992</v>
      </c>
      <c r="G13" s="72">
        <f>'SCF forecast'!F18</f>
        <v>-653613.54021553323</v>
      </c>
    </row>
    <row r="14" spans="1:8" ht="16" thickBot="1" x14ac:dyDescent="0.25">
      <c r="A14" s="36" t="s">
        <v>67</v>
      </c>
      <c r="C14" s="73">
        <f>SUM(C12:C13)</f>
        <v>6630613.7846587561</v>
      </c>
      <c r="D14" s="73">
        <f t="shared" ref="D14:G14" si="2">SUM(D12:D13)</f>
        <v>9614426.9989843238</v>
      </c>
      <c r="E14" s="73">
        <f t="shared" si="2"/>
        <v>13128874.648371136</v>
      </c>
      <c r="F14" s="73">
        <f t="shared" si="2"/>
        <v>17429676.53748164</v>
      </c>
      <c r="G14" s="73">
        <f t="shared" si="2"/>
        <v>22296834.208085522</v>
      </c>
    </row>
    <row r="15" spans="1:8" ht="16" thickTop="1" x14ac:dyDescent="0.2">
      <c r="A15" s="39"/>
      <c r="B15" s="40"/>
      <c r="C15" s="40"/>
      <c r="D15" s="40"/>
      <c r="E15" s="40"/>
      <c r="F15" s="40"/>
      <c r="G15" s="41"/>
    </row>
    <row r="17" spans="1:15" x14ac:dyDescent="0.2">
      <c r="A17" s="159"/>
      <c r="B17" s="160"/>
      <c r="C17" s="160"/>
      <c r="D17" s="160"/>
      <c r="E17" s="160"/>
      <c r="F17" s="160"/>
      <c r="G17" s="161"/>
      <c r="K17" s="159"/>
      <c r="L17" s="160"/>
      <c r="M17" s="160"/>
      <c r="N17" s="160"/>
      <c r="O17" s="161"/>
    </row>
    <row r="18" spans="1:15" x14ac:dyDescent="0.2">
      <c r="A18" s="162"/>
      <c r="B18" s="163"/>
      <c r="C18" s="163"/>
      <c r="D18" s="163"/>
      <c r="E18" s="163"/>
      <c r="F18" s="163"/>
      <c r="G18" s="164"/>
      <c r="K18" s="165"/>
      <c r="L18" s="166"/>
      <c r="M18" s="166"/>
      <c r="N18" s="166"/>
      <c r="O18" s="167"/>
    </row>
    <row r="19" spans="1:15" x14ac:dyDescent="0.2">
      <c r="A19" s="33" t="s">
        <v>73</v>
      </c>
      <c r="B19" s="34"/>
      <c r="C19" s="34"/>
      <c r="D19" s="34"/>
      <c r="E19" s="34"/>
      <c r="F19" s="34"/>
      <c r="G19" s="35"/>
      <c r="K19" s="165"/>
      <c r="L19" s="166"/>
      <c r="M19" s="166"/>
      <c r="N19" s="166"/>
      <c r="O19" s="167"/>
    </row>
    <row r="20" spans="1:15" x14ac:dyDescent="0.2">
      <c r="A20" s="44" t="s">
        <v>69</v>
      </c>
      <c r="B20" s="42"/>
      <c r="C20" s="42"/>
      <c r="D20" s="42"/>
      <c r="E20" s="42"/>
      <c r="F20" s="42"/>
      <c r="G20" s="43"/>
      <c r="K20" s="162"/>
      <c r="L20" s="163"/>
      <c r="M20" s="163"/>
      <c r="N20" s="163"/>
      <c r="O20" s="164"/>
    </row>
    <row r="21" spans="1:15" ht="15.75" customHeight="1" x14ac:dyDescent="0.2">
      <c r="A21" s="37" t="s">
        <v>74</v>
      </c>
      <c r="B21" s="81">
        <v>0.1</v>
      </c>
      <c r="G21" s="38"/>
    </row>
    <row r="22" spans="1:15" x14ac:dyDescent="0.2">
      <c r="A22" s="37" t="s">
        <v>100</v>
      </c>
      <c r="B22" s="80">
        <v>0.03</v>
      </c>
      <c r="C22" s="96"/>
      <c r="G22" s="38"/>
    </row>
    <row r="23" spans="1:15" x14ac:dyDescent="0.2">
      <c r="A23" s="36"/>
      <c r="B23" s="97">
        <v>0</v>
      </c>
      <c r="C23" s="97">
        <v>1</v>
      </c>
      <c r="D23" s="97">
        <v>2</v>
      </c>
      <c r="E23" s="97">
        <v>3</v>
      </c>
      <c r="F23" s="97">
        <v>4</v>
      </c>
      <c r="G23" s="99">
        <v>5</v>
      </c>
      <c r="K23" s="132" t="s">
        <v>159</v>
      </c>
      <c r="L23" s="132"/>
      <c r="M23" s="132"/>
      <c r="N23" s="132"/>
      <c r="O23" s="132"/>
    </row>
    <row r="24" spans="1:15" x14ac:dyDescent="0.2">
      <c r="A24" s="37" t="s">
        <v>67</v>
      </c>
      <c r="C24" s="67">
        <f>C14</f>
        <v>6630613.7846587561</v>
      </c>
      <c r="D24" s="67">
        <f t="shared" ref="D24:G24" si="3">D14</f>
        <v>9614426.9989843238</v>
      </c>
      <c r="E24" s="67">
        <f t="shared" si="3"/>
        <v>13128874.648371136</v>
      </c>
      <c r="F24" s="67">
        <f t="shared" si="3"/>
        <v>17429676.53748164</v>
      </c>
      <c r="G24" s="67">
        <f t="shared" si="3"/>
        <v>22296834.208085522</v>
      </c>
      <c r="J24" s="110">
        <f>B30/1000</f>
        <v>253299.94210743249</v>
      </c>
      <c r="K24" s="88">
        <v>0.08</v>
      </c>
      <c r="L24" s="88">
        <v>0.08</v>
      </c>
      <c r="M24" s="88">
        <v>0.09</v>
      </c>
      <c r="N24" s="88">
        <v>9.5000000000000001E-2</v>
      </c>
      <c r="O24" s="88">
        <v>0.1</v>
      </c>
    </row>
    <row r="25" spans="1:15" ht="16" thickBot="1" x14ac:dyDescent="0.25">
      <c r="A25" s="37" t="s">
        <v>144</v>
      </c>
      <c r="C25" s="104"/>
      <c r="D25" s="104"/>
      <c r="E25" s="104"/>
      <c r="F25" s="104"/>
      <c r="G25" s="105">
        <f>G24*(1+B22)/(B21-B22)</f>
        <v>328081989.06182981</v>
      </c>
      <c r="I25" s="133" t="s">
        <v>146</v>
      </c>
      <c r="J25" s="84">
        <v>0.02</v>
      </c>
      <c r="K25" s="106">
        <f t="dataTable" ref="K25:O29" dt2D="1" dtr="1" r1="B21" r2="B22"/>
        <v>310763.04803629557</v>
      </c>
      <c r="L25" s="107">
        <v>310763.04803629557</v>
      </c>
      <c r="M25" s="107">
        <v>262312.91773012152</v>
      </c>
      <c r="N25" s="107">
        <v>242985.24818143866</v>
      </c>
      <c r="O25" s="108">
        <v>226105.23179284931</v>
      </c>
    </row>
    <row r="26" spans="1:15" x14ac:dyDescent="0.2">
      <c r="C26" s="67">
        <f>C24+C25</f>
        <v>6630613.7846587561</v>
      </c>
      <c r="D26" s="67">
        <f t="shared" ref="D26:F26" si="4">D24+D25</f>
        <v>9614426.9989843238</v>
      </c>
      <c r="E26" s="67">
        <f t="shared" si="4"/>
        <v>13128874.648371136</v>
      </c>
      <c r="F26" s="67">
        <f t="shared" si="4"/>
        <v>17429676.53748164</v>
      </c>
      <c r="G26" s="67">
        <f>G24+G25</f>
        <v>350378823.26991534</v>
      </c>
      <c r="I26" s="133"/>
      <c r="J26" s="84">
        <v>2.5000000000000001E-2</v>
      </c>
      <c r="K26" s="109">
        <v>335594.62192386528</v>
      </c>
      <c r="L26" s="110">
        <v>335594.62192386528</v>
      </c>
      <c r="M26" s="110">
        <v>279670.76331248268</v>
      </c>
      <c r="N26" s="110">
        <v>257755.82408735374</v>
      </c>
      <c r="O26" s="111">
        <v>238796.0966063214</v>
      </c>
    </row>
    <row r="27" spans="1:15" x14ac:dyDescent="0.2">
      <c r="A27" s="37" t="s">
        <v>145</v>
      </c>
      <c r="C27" s="98">
        <f>(1+$B$21)^C23</f>
        <v>1.1000000000000001</v>
      </c>
      <c r="D27" s="98">
        <f t="shared" ref="D27:F27" si="5">(1+$B$21)^D23</f>
        <v>1.2100000000000002</v>
      </c>
      <c r="E27" s="98">
        <f t="shared" si="5"/>
        <v>1.3310000000000004</v>
      </c>
      <c r="F27" s="98">
        <f t="shared" si="5"/>
        <v>1.4641000000000004</v>
      </c>
      <c r="G27" s="98">
        <f>(1+$B$21)^G23</f>
        <v>1.6105100000000006</v>
      </c>
      <c r="I27" s="133"/>
      <c r="J27" s="84">
        <v>2.75E-2</v>
      </c>
      <c r="K27" s="109">
        <v>349784.09271676233</v>
      </c>
      <c r="L27" s="110">
        <v>349784.09271676233</v>
      </c>
      <c r="M27" s="110">
        <v>289391.15683860506</v>
      </c>
      <c r="N27" s="110">
        <v>265961.69959063997</v>
      </c>
      <c r="O27" s="111">
        <v>245797.95305513366</v>
      </c>
    </row>
    <row r="28" spans="1:15" x14ac:dyDescent="0.2">
      <c r="A28" s="37"/>
      <c r="C28" s="67">
        <f>C26/C27</f>
        <v>6027830.7133261412</v>
      </c>
      <c r="D28" s="67">
        <f t="shared" ref="D28:F28" si="6">D26/D27</f>
        <v>7945807.4371771263</v>
      </c>
      <c r="E28" s="67">
        <f t="shared" si="6"/>
        <v>9863917.8425027281</v>
      </c>
      <c r="F28" s="67">
        <f t="shared" si="6"/>
        <v>11904703.597760832</v>
      </c>
      <c r="G28" s="67">
        <f>G26/G27</f>
        <v>217557682.51666567</v>
      </c>
      <c r="I28" s="133"/>
      <c r="J28" s="84">
        <v>0.03</v>
      </c>
      <c r="K28" s="109">
        <v>365392.51058894896</v>
      </c>
      <c r="L28" s="110">
        <v>365392.51058894896</v>
      </c>
      <c r="M28" s="110">
        <v>299921.58315857075</v>
      </c>
      <c r="N28" s="110">
        <v>274798.79628648661</v>
      </c>
      <c r="O28" s="111">
        <v>253299.94210743249</v>
      </c>
    </row>
    <row r="29" spans="1:15" x14ac:dyDescent="0.2">
      <c r="A29" s="74"/>
      <c r="C29" s="82"/>
      <c r="D29" s="82"/>
      <c r="E29" s="82"/>
      <c r="F29" s="82"/>
      <c r="G29" s="48"/>
      <c r="I29" s="133"/>
      <c r="J29" s="84">
        <v>3.5000000000000003E-2</v>
      </c>
      <c r="K29" s="112">
        <v>401812.15229071787</v>
      </c>
      <c r="L29" s="113">
        <v>401812.15229071787</v>
      </c>
      <c r="M29" s="113">
        <v>323854.37024940213</v>
      </c>
      <c r="N29" s="113">
        <v>294682.26385214168</v>
      </c>
      <c r="O29" s="114">
        <v>270035.14845486829</v>
      </c>
    </row>
    <row r="30" spans="1:15" x14ac:dyDescent="0.2">
      <c r="A30" s="36" t="s">
        <v>105</v>
      </c>
      <c r="B30" s="83">
        <f>SUM(C28:G28)</f>
        <v>253299942.10743248</v>
      </c>
      <c r="C30" s="37"/>
      <c r="G30" s="38"/>
      <c r="I30" s="133"/>
    </row>
    <row r="31" spans="1:15" x14ac:dyDescent="0.2">
      <c r="A31" s="39"/>
      <c r="B31" s="40"/>
      <c r="C31" s="40"/>
      <c r="D31" s="40"/>
      <c r="E31" s="40"/>
      <c r="F31" s="40"/>
      <c r="G31" s="41"/>
    </row>
  </sheetData>
  <mergeCells count="5">
    <mergeCell ref="A1:G2"/>
    <mergeCell ref="A17:G18"/>
    <mergeCell ref="K17:O20"/>
    <mergeCell ref="K23:O23"/>
    <mergeCell ref="I25:I30"/>
  </mergeCells>
  <conditionalFormatting sqref="K25:O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IS</vt:lpstr>
      <vt:lpstr>BS</vt:lpstr>
      <vt:lpstr>SCF forecast</vt:lpstr>
      <vt:lpstr>DCF</vt:lpstr>
    </vt:vector>
  </TitlesOfParts>
  <Company>Washington and Lee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Brockenbrough, Grace</dc:creator>
  <cp:lastModifiedBy>Brockenbrough, Grace</cp:lastModifiedBy>
  <dcterms:created xsi:type="dcterms:W3CDTF">2024-04-17T14:58:54Z</dcterms:created>
  <dcterms:modified xsi:type="dcterms:W3CDTF">2026-08-26T19:20:35Z</dcterms:modified>
</cp:coreProperties>
</file>