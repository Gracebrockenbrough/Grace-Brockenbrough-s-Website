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l20-us-gbrockenbrough23-mba/Downloads/"/>
    </mc:Choice>
  </mc:AlternateContent>
  <xr:revisionPtr revIDLastSave="0" documentId="8_{779FDE4A-CEA9-4047-B75F-401AE4343E1E}" xr6:coauthVersionLast="47" xr6:coauthVersionMax="47" xr10:uidLastSave="{00000000-0000-0000-0000-000000000000}"/>
  <bookViews>
    <workbookView xWindow="4300" yWindow="780" windowWidth="21920" windowHeight="17460" activeTab="5" xr2:uid="{D698D318-2E89-E444-B194-6A01AC697952}"/>
  </bookViews>
  <sheets>
    <sheet name="FCFF" sheetId="6" r:id="rId1"/>
    <sheet name="Sales breakdown" sheetId="13" r:id="rId2"/>
    <sheet name="WACC" sheetId="19" r:id="rId3"/>
    <sheet name="DDM (only div)" sheetId="10" r:id="rId4"/>
    <sheet name="Ratios" sheetId="21" r:id="rId5"/>
    <sheet name="Comparables" sheetId="8" r:id="rId6"/>
    <sheet name="Sales Charts" sheetId="18" r:id="rId7"/>
    <sheet name="All financial statements 21-25" sheetId="12" r:id="rId8"/>
    <sheet name="Statement of Cash Flows" sheetId="1" r:id="rId9"/>
    <sheet name="Income Statement" sheetId="2" r:id="rId10"/>
    <sheet name="Balance Sheet" sheetId="5" r:id="rId11"/>
    <sheet name="Comparable Co Statements " sheetId="11" r:id="rId12"/>
    <sheet name="Bonds" sheetId="14" r:id="rId13"/>
    <sheet name="Graphics for Presentation" sheetId="15" r:id="rId14"/>
  </sheets>
  <externalReferences>
    <externalReference r:id="rId15"/>
    <externalReference r:id="rId16"/>
  </externalReferences>
  <definedNames>
    <definedName name="Cash">FCFF!$G$32</definedName>
    <definedName name="tax">[1]DCF!$D$26</definedName>
    <definedName name="WACC">[2]WACC!$O$19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3" i="21" l="1"/>
  <c r="R13" i="21"/>
  <c r="S13" i="21"/>
  <c r="T13" i="21"/>
  <c r="Q14" i="21"/>
  <c r="Q15" i="21"/>
  <c r="Q16" i="21"/>
  <c r="Q17" i="21"/>
  <c r="Q18" i="21"/>
  <c r="Q19" i="21"/>
  <c r="Q21" i="21"/>
  <c r="Q22" i="21"/>
  <c r="Q23" i="21"/>
  <c r="Q25" i="21"/>
  <c r="Q27" i="21"/>
  <c r="Q28" i="21"/>
  <c r="C40" i="10" l="1"/>
  <c r="B32" i="10"/>
  <c r="C27" i="6"/>
  <c r="F6" i="19"/>
  <c r="Z6" i="19"/>
  <c r="F11" i="19"/>
  <c r="I9" i="19" s="1"/>
  <c r="L15" i="19" s="1"/>
  <c r="F18" i="19"/>
  <c r="Z18" i="19"/>
  <c r="AC21" i="19"/>
  <c r="F37" i="19"/>
  <c r="F30" i="19" s="1"/>
  <c r="Z37" i="19"/>
  <c r="Z30" i="19" s="1"/>
  <c r="F42" i="19"/>
  <c r="F40" i="19" s="1"/>
  <c r="I21" i="19" s="1"/>
  <c r="Z42" i="19"/>
  <c r="AH21" i="19" s="1"/>
  <c r="AH14" i="19" s="1"/>
  <c r="AH50" i="19"/>
  <c r="AH52" i="19" s="1"/>
  <c r="AH54" i="19" s="1"/>
  <c r="Z39" i="19" s="1"/>
  <c r="Z11" i="19" s="1"/>
  <c r="AC9" i="19" s="1"/>
  <c r="AF15" i="19" s="1"/>
  <c r="AH53" i="19"/>
  <c r="AI18" i="19" l="1"/>
  <c r="L21" i="19"/>
  <c r="AF21" i="19"/>
  <c r="N21" i="19"/>
  <c r="N14" i="19" s="1"/>
  <c r="O18" i="19" s="1"/>
  <c r="L86" i="6" l="1"/>
  <c r="L83" i="6"/>
  <c r="B43" i="10"/>
  <c r="B45" i="10" s="1"/>
  <c r="F33" i="6"/>
  <c r="D7" i="6"/>
  <c r="E7" i="6"/>
  <c r="F7" i="6"/>
  <c r="C7" i="6"/>
  <c r="F12" i="6"/>
  <c r="H57" i="6"/>
  <c r="I9" i="6" s="1"/>
  <c r="B31" i="10"/>
  <c r="F34" i="6"/>
  <c r="F35" i="6" l="1"/>
  <c r="C43" i="10"/>
  <c r="C45" i="10" s="1"/>
  <c r="F46" i="6"/>
  <c r="G46" i="6" s="1"/>
  <c r="H46" i="6" s="1"/>
  <c r="I46" i="6" s="1"/>
  <c r="D48" i="6"/>
  <c r="D49" i="6" s="1"/>
  <c r="D50" i="6" s="1"/>
  <c r="D51" i="6" s="1"/>
  <c r="D52" i="6" s="1"/>
  <c r="G57" i="6"/>
  <c r="H9" i="6" s="1"/>
  <c r="I57" i="6"/>
  <c r="J9" i="6" s="1"/>
  <c r="J57" i="6"/>
  <c r="K9" i="6" s="1"/>
  <c r="K57" i="6"/>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B8" i="10"/>
  <c r="B3" i="10"/>
  <c r="B4" i="10"/>
  <c r="C19" i="6"/>
  <c r="C18" i="6"/>
  <c r="D18" i="6"/>
  <c r="E18" i="6"/>
  <c r="F18" i="6"/>
  <c r="C10" i="6"/>
  <c r="D19" i="6"/>
  <c r="E19" i="6"/>
  <c r="F19" i="6"/>
  <c r="D12" i="6"/>
  <c r="D94" i="6" s="1"/>
  <c r="E12" i="6"/>
  <c r="E94" i="6" s="1"/>
  <c r="F94" i="6"/>
  <c r="C12" i="6"/>
  <c r="C94" i="6" s="1"/>
  <c r="D17" i="6"/>
  <c r="D91" i="6" s="1"/>
  <c r="E17" i="6"/>
  <c r="E91" i="6" s="1"/>
  <c r="F17" i="6"/>
  <c r="F91" i="6" s="1"/>
  <c r="C17" i="6"/>
  <c r="C91" i="6" s="1"/>
  <c r="D10" i="6"/>
  <c r="E10" i="6"/>
  <c r="F10" i="6"/>
  <c r="D6" i="6"/>
  <c r="E6" i="6"/>
  <c r="F6" i="6"/>
  <c r="F8" i="6" s="1"/>
  <c r="C6" i="6"/>
  <c r="H33" i="6"/>
  <c r="C85" i="6"/>
  <c r="D82" i="6"/>
  <c r="E82" i="6"/>
  <c r="F82" i="6"/>
  <c r="D85" i="6"/>
  <c r="E85" i="6"/>
  <c r="F85" i="6"/>
  <c r="C82" i="6"/>
  <c r="C79" i="6"/>
  <c r="D79" i="6"/>
  <c r="E79" i="6"/>
  <c r="F79" i="6"/>
  <c r="D76" i="6"/>
  <c r="E76" i="6"/>
  <c r="F76" i="6"/>
  <c r="C76" i="6"/>
  <c r="C73" i="6"/>
  <c r="D73" i="6"/>
  <c r="D75" i="6" s="1"/>
  <c r="E73" i="6"/>
  <c r="F73" i="6"/>
  <c r="H39" i="6"/>
  <c r="C96" i="6" l="1"/>
  <c r="F11" i="6"/>
  <c r="D43" i="10"/>
  <c r="C19" i="10"/>
  <c r="D92" i="6"/>
  <c r="E19" i="10"/>
  <c r="D19" i="10"/>
  <c r="B19" i="10"/>
  <c r="C13" i="10"/>
  <c r="D13" i="10"/>
  <c r="B13" i="10"/>
  <c r="B27" i="10" s="1"/>
  <c r="E13" i="10"/>
  <c r="E87" i="6"/>
  <c r="D84" i="6"/>
  <c r="C8" i="6"/>
  <c r="C11" i="6" s="1"/>
  <c r="H35" i="6"/>
  <c r="F87" i="6"/>
  <c r="D81" i="6"/>
  <c r="C16" i="6"/>
  <c r="D78" i="6"/>
  <c r="D16" i="6"/>
  <c r="F84" i="6"/>
  <c r="D87" i="6"/>
  <c r="E84" i="6"/>
  <c r="H34" i="6"/>
  <c r="D88" i="6" l="1"/>
  <c r="E43" i="10"/>
  <c r="F43" i="10" s="1"/>
  <c r="D45" i="10"/>
  <c r="D9" i="18"/>
  <c r="E9" i="18"/>
  <c r="C9" i="18"/>
  <c r="C14" i="18" s="1"/>
  <c r="G7" i="8"/>
  <c r="H7" i="8" s="1"/>
  <c r="I5" i="8"/>
  <c r="G43" i="10" l="1"/>
  <c r="E45" i="10"/>
  <c r="C13" i="18"/>
  <c r="C17" i="18"/>
  <c r="C16" i="18"/>
  <c r="C15" i="18"/>
  <c r="G44" i="10" l="1"/>
  <c r="G45" i="10" s="1"/>
  <c r="F45" i="10"/>
  <c r="E12" i="8"/>
  <c r="D12" i="8"/>
  <c r="C12" i="8"/>
  <c r="G5" i="8"/>
  <c r="H5" i="8"/>
  <c r="G9" i="8"/>
  <c r="H9" i="8"/>
  <c r="G11" i="8"/>
  <c r="H11" i="8" s="1"/>
  <c r="I11" i="8" s="1"/>
  <c r="L77" i="6"/>
  <c r="H58" i="6"/>
  <c r="I58" i="6"/>
  <c r="B58" i="6"/>
  <c r="E22" i="13"/>
  <c r="J58" i="6" s="1"/>
  <c r="C6" i="8"/>
  <c r="C13" i="13"/>
  <c r="D13" i="13"/>
  <c r="E13" i="13"/>
  <c r="F13" i="13"/>
  <c r="C14" i="13"/>
  <c r="D14" i="13"/>
  <c r="E14" i="13"/>
  <c r="F14" i="13"/>
  <c r="C15" i="13"/>
  <c r="D15" i="13"/>
  <c r="E15" i="13"/>
  <c r="F15" i="13"/>
  <c r="C16" i="13"/>
  <c r="D16" i="13"/>
  <c r="E16" i="13"/>
  <c r="F16" i="13"/>
  <c r="C17" i="13"/>
  <c r="D17" i="13"/>
  <c r="E17" i="13"/>
  <c r="F17" i="13"/>
  <c r="D55" i="6"/>
  <c r="F92" i="6"/>
  <c r="B33" i="12"/>
  <c r="C33" i="12"/>
  <c r="D33" i="12"/>
  <c r="E33" i="12"/>
  <c r="F33" i="12"/>
  <c r="F69" i="6"/>
  <c r="C69" i="6"/>
  <c r="D69" i="6"/>
  <c r="E69" i="6"/>
  <c r="D63" i="6"/>
  <c r="E63" i="6"/>
  <c r="F63" i="6"/>
  <c r="C63" i="6"/>
  <c r="D56" i="6"/>
  <c r="D61" i="6" s="1"/>
  <c r="E56" i="6"/>
  <c r="E61" i="6" s="1"/>
  <c r="F56" i="6"/>
  <c r="F61" i="6" s="1"/>
  <c r="C56" i="6"/>
  <c r="C61" i="6" s="1"/>
  <c r="C8" i="8"/>
  <c r="C7" i="8"/>
  <c r="E8" i="8"/>
  <c r="E7" i="8"/>
  <c r="E6" i="8"/>
  <c r="E10" i="8" s="1"/>
  <c r="G6" i="8" s="1"/>
  <c r="G10" i="8" s="1"/>
  <c r="G12" i="8" s="1"/>
  <c r="D8" i="8"/>
  <c r="D7" i="8"/>
  <c r="D6" i="8"/>
  <c r="C5" i="6"/>
  <c r="D5" i="6"/>
  <c r="E5" i="6"/>
  <c r="F5" i="6"/>
  <c r="B2" i="10"/>
  <c r="C2" i="10"/>
  <c r="D2" i="10"/>
  <c r="E2" i="10"/>
  <c r="F2" i="10"/>
  <c r="G2" i="10"/>
  <c r="H2" i="10"/>
  <c r="I2" i="10"/>
  <c r="J2" i="10"/>
  <c r="K2" i="10"/>
  <c r="L2" i="10"/>
  <c r="M2" i="10"/>
  <c r="N2" i="10"/>
  <c r="O2" i="10"/>
  <c r="P2" i="10"/>
  <c r="Q2" i="10"/>
  <c r="R2" i="10"/>
  <c r="S2" i="10"/>
  <c r="T2" i="10"/>
  <c r="U2" i="10"/>
  <c r="V2" i="10"/>
  <c r="W2" i="10"/>
  <c r="X2" i="10"/>
  <c r="Y2" i="10"/>
  <c r="Z2" i="10"/>
  <c r="AA2" i="10"/>
  <c r="AB2" i="10"/>
  <c r="AC2" i="10"/>
  <c r="AD2" i="10"/>
  <c r="AE2" i="10"/>
  <c r="A14" i="10"/>
  <c r="A20" i="10" s="1"/>
  <c r="A12" i="10"/>
  <c r="A28" i="10" s="1"/>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13" i="10"/>
  <c r="A19" i="10" s="1"/>
  <c r="AE3" i="10"/>
  <c r="B25" i="10" s="1"/>
  <c r="AB3" i="10"/>
  <c r="AC3" i="10"/>
  <c r="AD3" i="10"/>
  <c r="Z3" i="10"/>
  <c r="AA3" i="10"/>
  <c r="K3" i="10"/>
  <c r="L3" i="10"/>
  <c r="M3" i="10"/>
  <c r="N3" i="10"/>
  <c r="O3" i="10"/>
  <c r="P3" i="10"/>
  <c r="Q3" i="10"/>
  <c r="R3" i="10"/>
  <c r="S3" i="10"/>
  <c r="T3" i="10"/>
  <c r="U3" i="10"/>
  <c r="V3" i="10"/>
  <c r="W3" i="10"/>
  <c r="X3" i="10"/>
  <c r="Y3" i="10"/>
  <c r="C3" i="10"/>
  <c r="B6" i="10" s="1"/>
  <c r="D3" i="10"/>
  <c r="E3" i="10"/>
  <c r="F3" i="10"/>
  <c r="G3" i="10"/>
  <c r="H3" i="10"/>
  <c r="I3" i="10"/>
  <c r="J3" i="10"/>
  <c r="I45" i="10" l="1"/>
  <c r="F77" i="6"/>
  <c r="D86" i="6"/>
  <c r="D93" i="6"/>
  <c r="E70" i="6"/>
  <c r="C18" i="10"/>
  <c r="C12" i="10"/>
  <c r="F22" i="13"/>
  <c r="K58" i="6" s="1"/>
  <c r="K59" i="6" s="1"/>
  <c r="E18" i="10"/>
  <c r="E55" i="6"/>
  <c r="D74" i="6"/>
  <c r="E60" i="6"/>
  <c r="D60" i="6"/>
  <c r="F75" i="6"/>
  <c r="F70" i="6"/>
  <c r="F60" i="6"/>
  <c r="C66" i="6"/>
  <c r="C67" i="6" s="1"/>
  <c r="C64" i="6"/>
  <c r="F93" i="6"/>
  <c r="E64" i="6"/>
  <c r="D64" i="6"/>
  <c r="F64" i="6"/>
  <c r="F66" i="6"/>
  <c r="F67" i="6" s="1"/>
  <c r="E66" i="6"/>
  <c r="E67" i="6" s="1"/>
  <c r="D66" i="6"/>
  <c r="D67" i="6" s="1"/>
  <c r="J59" i="6"/>
  <c r="G56" i="6"/>
  <c r="F57" i="6"/>
  <c r="G9" i="6" s="1"/>
  <c r="E57" i="6"/>
  <c r="F78" i="6"/>
  <c r="D57" i="6"/>
  <c r="D70" i="6"/>
  <c r="C70" i="6"/>
  <c r="E92" i="6"/>
  <c r="E78" i="6"/>
  <c r="F86" i="6"/>
  <c r="G86" i="6" s="1"/>
  <c r="H86" i="6" s="1"/>
  <c r="G77" i="6"/>
  <c r="H77" i="6" s="1"/>
  <c r="F80" i="6"/>
  <c r="G80" i="6" s="1"/>
  <c r="H80" i="6" s="1"/>
  <c r="E86" i="6"/>
  <c r="E77" i="6"/>
  <c r="D77" i="6"/>
  <c r="D83" i="6"/>
  <c r="D80" i="6"/>
  <c r="C95" i="6"/>
  <c r="E74" i="6"/>
  <c r="E80" i="6"/>
  <c r="F81" i="6"/>
  <c r="E81" i="6"/>
  <c r="E93" i="6"/>
  <c r="E75" i="6"/>
  <c r="F83" i="6"/>
  <c r="E83" i="6"/>
  <c r="F74" i="6"/>
  <c r="E8" i="6"/>
  <c r="E11" i="6" s="1"/>
  <c r="D8" i="6"/>
  <c r="D11" i="6" s="1"/>
  <c r="C13" i="6"/>
  <c r="C15" i="6" s="1"/>
  <c r="C20" i="6" s="1"/>
  <c r="C10" i="8"/>
  <c r="I10" i="8" s="1"/>
  <c r="I12" i="8" s="1"/>
  <c r="C9" i="8"/>
  <c r="E9" i="8"/>
  <c r="B12" i="10"/>
  <c r="B28" i="10" s="1"/>
  <c r="B26" i="10" s="1"/>
  <c r="B18" i="10"/>
  <c r="J6" i="10"/>
  <c r="W6" i="10"/>
  <c r="Y6" i="10"/>
  <c r="U6" i="10"/>
  <c r="D18" i="10"/>
  <c r="Q6" i="10"/>
  <c r="AA6" i="10"/>
  <c r="A18" i="10"/>
  <c r="V6" i="10"/>
  <c r="P6" i="10"/>
  <c r="X6" i="10"/>
  <c r="M6" i="10"/>
  <c r="N6" i="10"/>
  <c r="I6" i="10"/>
  <c r="L6" i="10"/>
  <c r="H6" i="10"/>
  <c r="K6" i="10"/>
  <c r="AD6" i="10"/>
  <c r="O6" i="10"/>
  <c r="Z6" i="10"/>
  <c r="S6" i="10"/>
  <c r="AB6" i="10"/>
  <c r="E6" i="10"/>
  <c r="R6" i="10"/>
  <c r="G6" i="10"/>
  <c r="T6" i="10"/>
  <c r="AC6" i="10"/>
  <c r="F6" i="10"/>
  <c r="C6" i="10"/>
  <c r="C20" i="10" s="1"/>
  <c r="D6" i="10"/>
  <c r="E12" i="10"/>
  <c r="D12" i="10"/>
  <c r="G93" i="6" l="1"/>
  <c r="E20" i="10"/>
  <c r="D20" i="10"/>
  <c r="E88" i="6"/>
  <c r="G64" i="6"/>
  <c r="H64" i="6" s="1"/>
  <c r="I64" i="6" s="1"/>
  <c r="J64" i="6" s="1"/>
  <c r="K64" i="6" s="1"/>
  <c r="F88" i="6"/>
  <c r="G83" i="6"/>
  <c r="H83" i="6" s="1"/>
  <c r="I83" i="6" s="1"/>
  <c r="J83" i="6" s="1"/>
  <c r="K83" i="6" s="1"/>
  <c r="I86" i="6"/>
  <c r="J86" i="6" s="1"/>
  <c r="K86" i="6" s="1"/>
  <c r="F55" i="6"/>
  <c r="I80" i="6"/>
  <c r="I77" i="6"/>
  <c r="G74" i="6"/>
  <c r="H74" i="6" s="1"/>
  <c r="I74" i="6" s="1"/>
  <c r="J74" i="6" s="1"/>
  <c r="K74" i="6" s="1"/>
  <c r="G61" i="6"/>
  <c r="H56" i="6"/>
  <c r="C14" i="6"/>
  <c r="B20" i="10"/>
  <c r="E14" i="10"/>
  <c r="B14" i="10"/>
  <c r="D14" i="10"/>
  <c r="C14" i="10"/>
  <c r="G85" i="6" l="1"/>
  <c r="G91" i="6"/>
  <c r="G6" i="6"/>
  <c r="H70" i="6"/>
  <c r="I70" i="6" s="1"/>
  <c r="J70" i="6" s="1"/>
  <c r="K70" i="6" s="1"/>
  <c r="G69" i="6"/>
  <c r="G10" i="6" s="1"/>
  <c r="G87" i="6"/>
  <c r="G82" i="6"/>
  <c r="G84" i="6" s="1"/>
  <c r="G55" i="6"/>
  <c r="H55" i="6" s="1"/>
  <c r="I55" i="6" s="1"/>
  <c r="J55" i="6" s="1"/>
  <c r="K55" i="6" s="1"/>
  <c r="G76" i="6"/>
  <c r="G78" i="6" s="1"/>
  <c r="H93" i="6"/>
  <c r="J77" i="6"/>
  <c r="J80" i="6"/>
  <c r="G79" i="6"/>
  <c r="G81" i="6" s="1"/>
  <c r="G73" i="6"/>
  <c r="G75" i="6" s="1"/>
  <c r="G60" i="6"/>
  <c r="G63" i="6"/>
  <c r="G66" i="6" s="1"/>
  <c r="I56" i="6"/>
  <c r="H61" i="6"/>
  <c r="H85" i="6" s="1"/>
  <c r="G17" i="6" l="1"/>
  <c r="G92" i="6"/>
  <c r="G7" i="6"/>
  <c r="G8" i="6" s="1"/>
  <c r="G11" i="6" s="1"/>
  <c r="H87" i="6"/>
  <c r="G88" i="6"/>
  <c r="G19" i="6" s="1"/>
  <c r="I93" i="6"/>
  <c r="H91" i="6"/>
  <c r="H82" i="6"/>
  <c r="H84" i="6" s="1"/>
  <c r="H6" i="6"/>
  <c r="H79" i="6"/>
  <c r="H81" i="6" s="1"/>
  <c r="H76" i="6"/>
  <c r="H78" i="6" s="1"/>
  <c r="K80" i="6"/>
  <c r="K77" i="6"/>
  <c r="H73" i="6"/>
  <c r="H75" i="6" s="1"/>
  <c r="H69" i="6"/>
  <c r="H10" i="6" s="1"/>
  <c r="H60" i="6"/>
  <c r="H63" i="6"/>
  <c r="H66" i="6" s="1"/>
  <c r="H67" i="6" s="1"/>
  <c r="I61" i="6"/>
  <c r="I85" i="6" s="1"/>
  <c r="I87" i="6" s="1"/>
  <c r="J56" i="6"/>
  <c r="G67" i="6" l="1"/>
  <c r="H88" i="6"/>
  <c r="H19" i="6" s="1"/>
  <c r="J93" i="6"/>
  <c r="I91" i="6"/>
  <c r="H92" i="6"/>
  <c r="H17" i="6"/>
  <c r="I6" i="6"/>
  <c r="I82" i="6"/>
  <c r="I84" i="6" s="1"/>
  <c r="I76" i="6"/>
  <c r="I78" i="6" s="1"/>
  <c r="I79" i="6"/>
  <c r="I81" i="6" s="1"/>
  <c r="H7" i="6"/>
  <c r="H8" i="6" s="1"/>
  <c r="H11" i="6" s="1"/>
  <c r="I73" i="6"/>
  <c r="I75" i="6" s="1"/>
  <c r="I69" i="6"/>
  <c r="I10" i="6" s="1"/>
  <c r="I60" i="6"/>
  <c r="I63" i="6"/>
  <c r="I66" i="6" s="1"/>
  <c r="J61" i="6"/>
  <c r="J85" i="6" s="1"/>
  <c r="J87" i="6" s="1"/>
  <c r="K56" i="6"/>
  <c r="K61" i="6" l="1"/>
  <c r="I88" i="6"/>
  <c r="I19" i="6" s="1"/>
  <c r="K76" i="6"/>
  <c r="K93" i="6"/>
  <c r="K91" i="6" s="1"/>
  <c r="J91" i="6"/>
  <c r="J6" i="6"/>
  <c r="J82" i="6"/>
  <c r="J84" i="6" s="1"/>
  <c r="J76" i="6"/>
  <c r="J78" i="6" s="1"/>
  <c r="J79" i="6"/>
  <c r="J81" i="6" s="1"/>
  <c r="I17" i="6"/>
  <c r="I92" i="6"/>
  <c r="K6" i="6"/>
  <c r="K82" i="6"/>
  <c r="K79" i="6"/>
  <c r="I67" i="6"/>
  <c r="I7" i="6"/>
  <c r="I8" i="6" s="1"/>
  <c r="I11" i="6" s="1"/>
  <c r="K69" i="6"/>
  <c r="K10" i="6" s="1"/>
  <c r="J73" i="6"/>
  <c r="J75" i="6" s="1"/>
  <c r="J69" i="6"/>
  <c r="J10" i="6" s="1"/>
  <c r="K60" i="6"/>
  <c r="K63" i="6"/>
  <c r="J60" i="6"/>
  <c r="J63" i="6"/>
  <c r="J66" i="6" s="1"/>
  <c r="K85" i="6" l="1"/>
  <c r="K87" i="6" s="1"/>
  <c r="M60" i="6"/>
  <c r="K73" i="6"/>
  <c r="K66" i="6"/>
  <c r="K7" i="6" s="1"/>
  <c r="K8" i="6" s="1"/>
  <c r="K11" i="6" s="1"/>
  <c r="L36" i="6" s="1"/>
  <c r="L38" i="6" s="1"/>
  <c r="J88" i="6"/>
  <c r="J19" i="6" s="1"/>
  <c r="K84" i="6"/>
  <c r="K81" i="6"/>
  <c r="K78" i="6"/>
  <c r="K17" i="6"/>
  <c r="K92" i="6"/>
  <c r="J17" i="6"/>
  <c r="J92" i="6"/>
  <c r="J67" i="6"/>
  <c r="J7" i="6"/>
  <c r="J8" i="6" s="1"/>
  <c r="J11" i="6" s="1"/>
  <c r="K75" i="6"/>
  <c r="K67" i="6" l="1"/>
  <c r="K88" i="6"/>
  <c r="K19" i="6" s="1"/>
  <c r="D10" i="8"/>
  <c r="D9" i="8"/>
  <c r="H6" i="8" l="1"/>
  <c r="H10" i="8" l="1"/>
  <c r="H12" i="8" s="1"/>
  <c r="E13" i="6" l="1"/>
  <c r="E14" i="6" s="1"/>
  <c r="D95" i="6"/>
  <c r="D13" i="6"/>
  <c r="D15" i="6" s="1"/>
  <c r="D20" i="6" s="1"/>
  <c r="F13" i="6"/>
  <c r="F14" i="6" s="1"/>
  <c r="E16" i="6"/>
  <c r="F16" i="6"/>
  <c r="E95" i="6"/>
  <c r="E96" i="6"/>
  <c r="F96" i="6"/>
  <c r="F95" i="6"/>
  <c r="D96" i="6"/>
  <c r="F15" i="6" l="1"/>
  <c r="D14" i="6"/>
  <c r="F20" i="6"/>
  <c r="G96" i="6"/>
  <c r="E15" i="6"/>
  <c r="E20" i="6" s="1"/>
  <c r="G95" i="6"/>
  <c r="H95" i="6" s="1"/>
  <c r="G94" i="6" l="1"/>
  <c r="G12" i="6" s="1"/>
  <c r="H96" i="6"/>
  <c r="I95" i="6"/>
  <c r="H94" i="6"/>
  <c r="H12" i="6" s="1"/>
  <c r="I96" i="6"/>
  <c r="J95" i="6"/>
  <c r="K95" i="6" s="1"/>
  <c r="G16" i="6" l="1"/>
  <c r="G13" i="6"/>
  <c r="G15" i="6" s="1"/>
  <c r="H13" i="6"/>
  <c r="H15" i="6" s="1"/>
  <c r="H16" i="6"/>
  <c r="G14" i="6"/>
  <c r="G20" i="6"/>
  <c r="J96" i="6"/>
  <c r="I94" i="6"/>
  <c r="I12" i="6" s="1"/>
  <c r="G23" i="6" l="1"/>
  <c r="I13" i="6"/>
  <c r="I15" i="6" s="1"/>
  <c r="I16" i="6"/>
  <c r="J94" i="6"/>
  <c r="J12" i="6" s="1"/>
  <c r="K96" i="6"/>
  <c r="K94" i="6" s="1"/>
  <c r="K12" i="6" s="1"/>
  <c r="H14" i="6"/>
  <c r="H20" i="6"/>
  <c r="G24" i="6" l="1"/>
  <c r="H23" i="6"/>
  <c r="H24" i="6"/>
  <c r="J16" i="6"/>
  <c r="J13" i="6"/>
  <c r="J15" i="6" s="1"/>
  <c r="K13" i="6"/>
  <c r="K15" i="6" s="1"/>
  <c r="K16" i="6"/>
  <c r="I20" i="6"/>
  <c r="I14" i="6"/>
  <c r="K20" i="6" l="1"/>
  <c r="J20" i="6"/>
  <c r="J14" i="6"/>
  <c r="I23" i="6"/>
  <c r="I24" i="6"/>
  <c r="K14" i="6"/>
  <c r="K24" i="6" l="1"/>
  <c r="L31" i="6"/>
  <c r="L32" i="6" s="1"/>
  <c r="K23" i="6" s="1"/>
  <c r="F30" i="6" s="1"/>
  <c r="J23" i="6"/>
  <c r="J24" i="6"/>
  <c r="H30" i="6" s="1"/>
  <c r="H32" i="6" l="1"/>
  <c r="H37" i="6" s="1"/>
  <c r="H40" i="6" s="1"/>
  <c r="F32" i="6" l="1"/>
  <c r="F37" i="6" s="1"/>
  <c r="F40" i="6" s="1"/>
  <c r="D46" i="6" l="1"/>
  <c r="F43" i="6"/>
</calcChain>
</file>

<file path=xl/sharedStrings.xml><?xml version="1.0" encoding="utf-8"?>
<sst xmlns="http://schemas.openxmlformats.org/spreadsheetml/2006/main" count="1724" uniqueCount="659">
  <si>
    <t>DEC '25</t>
  </si>
  <si>
    <t>JUN '25</t>
  </si>
  <si>
    <t>JUN '24</t>
  </si>
  <si>
    <t>JUN '23</t>
  </si>
  <si>
    <t>JUN '22</t>
  </si>
  <si>
    <t>JUN '21</t>
  </si>
  <si>
    <t>JUN '20</t>
  </si>
  <si>
    <t>JUN '19</t>
  </si>
  <si>
    <t>JUN '18</t>
  </si>
  <si>
    <t>JUN '17</t>
  </si>
  <si>
    <t>JUN '16</t>
  </si>
  <si>
    <t>JUN '15</t>
  </si>
  <si>
    <t>JUN '14</t>
  </si>
  <si>
    <t>JUN '13</t>
  </si>
  <si>
    <t>JUN '12</t>
  </si>
  <si>
    <t>JUN '11</t>
  </si>
  <si>
    <t>JUN '10</t>
  </si>
  <si>
    <t>JUN '09</t>
  </si>
  <si>
    <t>JUN '08</t>
  </si>
  <si>
    <t>JUN '07</t>
  </si>
  <si>
    <t>JUN '06</t>
  </si>
  <si>
    <t>JUN '05</t>
  </si>
  <si>
    <t>JUN '04</t>
  </si>
  <si>
    <t>JUN '03</t>
  </si>
  <si>
    <t>JUN '02</t>
  </si>
  <si>
    <t>JUN '01</t>
  </si>
  <si>
    <t>JUN '00</t>
  </si>
  <si>
    <t>JUN '99</t>
  </si>
  <si>
    <t>JUN '98</t>
  </si>
  <si>
    <t>JUN '97</t>
  </si>
  <si>
    <t>JUN '96</t>
  </si>
  <si>
    <t>Net Income</t>
  </si>
  <si>
    <t>Cash Dividends Paid</t>
  </si>
  <si>
    <t>Change in Capital Stock</t>
  </si>
  <si>
    <t>Mean</t>
  </si>
  <si>
    <t>Median</t>
  </si>
  <si>
    <t>Min</t>
  </si>
  <si>
    <t>ROE</t>
  </si>
  <si>
    <t>Sustainable Growth Rate of Dividends</t>
  </si>
  <si>
    <t>Sustainable Growth Rate</t>
  </si>
  <si>
    <t>CF1</t>
  </si>
  <si>
    <t>-</t>
  </si>
  <si>
    <t>g</t>
  </si>
  <si>
    <t>Growth Rate</t>
  </si>
  <si>
    <t>Required Rate of Return (CAPM)</t>
  </si>
  <si>
    <t>beta</t>
  </si>
  <si>
    <t>risk free</t>
  </si>
  <si>
    <t>30 Year treausre bond</t>
  </si>
  <si>
    <t>market premium</t>
  </si>
  <si>
    <t xml:space="preserve">Equity Valuation: Dividend Discount Model </t>
  </si>
  <si>
    <t>DPS</t>
  </si>
  <si>
    <t xml:space="preserve">Div Payout ratio </t>
  </si>
  <si>
    <t>Return on Equity (in %)</t>
  </si>
  <si>
    <t>Div growth rate</t>
  </si>
  <si>
    <t>Historical Stats on Common Equity Returns (30 years)</t>
  </si>
  <si>
    <t xml:space="preserve">Mean </t>
  </si>
  <si>
    <t xml:space="preserve">Median </t>
  </si>
  <si>
    <t xml:space="preserve">Max </t>
  </si>
  <si>
    <t>*look at data from past 10 years</t>
  </si>
  <si>
    <t>Historical Stats on Common Equity Returns (last 10 years about with out outliers)</t>
  </si>
  <si>
    <t xml:space="preserve">Indicated annual div  yield </t>
  </si>
  <si>
    <t xml:space="preserve">*from  factset </t>
  </si>
  <si>
    <t>CACR of DPS</t>
  </si>
  <si>
    <t>1 yr div growth</t>
  </si>
  <si>
    <t xml:space="preserve">*US from website: https://pages.stern.nyu.edu/~adamodar/New_Home_Page/datafile/ctryprem.html </t>
  </si>
  <si>
    <t>Terminal growth rate</t>
  </si>
  <si>
    <t xml:space="preserve">*investors who care about div and div yield this is a good investment </t>
  </si>
  <si>
    <t xml:space="preserve">t </t>
  </si>
  <si>
    <t>CF2</t>
  </si>
  <si>
    <t>CF3</t>
  </si>
  <si>
    <t>CF4</t>
  </si>
  <si>
    <t>CF5</t>
  </si>
  <si>
    <t>Dividends</t>
  </si>
  <si>
    <t>Terminal value</t>
  </si>
  <si>
    <t>Fair price</t>
  </si>
  <si>
    <t>Current price</t>
  </si>
  <si>
    <t xml:space="preserve">Total </t>
  </si>
  <si>
    <t xml:space="preserve">VS </t>
  </si>
  <si>
    <t>Market risk premium</t>
  </si>
  <si>
    <t>Cost</t>
  </si>
  <si>
    <t>Company risk premium</t>
  </si>
  <si>
    <t>of</t>
  </si>
  <si>
    <t>Levered company Beta</t>
  </si>
  <si>
    <t>Capital</t>
  </si>
  <si>
    <t>structure</t>
  </si>
  <si>
    <t>equity</t>
  </si>
  <si>
    <r>
      <t>w</t>
    </r>
    <r>
      <rPr>
        <vertAlign val="subscript"/>
        <sz val="8"/>
        <rFont val="Frutiger 45 Light"/>
      </rPr>
      <t>e</t>
    </r>
  </si>
  <si>
    <t>Cost of Equity</t>
  </si>
  <si>
    <t>Risk free rate</t>
  </si>
  <si>
    <t>WACC</t>
  </si>
  <si>
    <t>Cost of Debt</t>
  </si>
  <si>
    <t>Net cost of debt</t>
  </si>
  <si>
    <r>
      <t>w</t>
    </r>
    <r>
      <rPr>
        <vertAlign val="subscript"/>
        <sz val="8"/>
        <rFont val="Frutiger 45 Light"/>
      </rPr>
      <t>d</t>
    </r>
  </si>
  <si>
    <t>fix</t>
  </si>
  <si>
    <t>debt</t>
  </si>
  <si>
    <t>Marginal tax rate</t>
  </si>
  <si>
    <t/>
  </si>
  <si>
    <t>KEY ASSUMPTIONS</t>
  </si>
  <si>
    <t>Risk free rate(2)</t>
  </si>
  <si>
    <t>Beta</t>
  </si>
  <si>
    <r>
      <t>Cost of Debt k</t>
    </r>
    <r>
      <rPr>
        <vertAlign val="subscript"/>
        <sz val="9"/>
        <rFont val="Frutiger 45 Light"/>
      </rPr>
      <t>d</t>
    </r>
  </si>
  <si>
    <t>Market Premium</t>
  </si>
  <si>
    <t>Current Debt</t>
  </si>
  <si>
    <t>August 5, 2025, Moody’s Investors Service has assigned us an unsecured
debt credit rating of Baa1 and a ratings outlook of “stable." Standard &amp;
Poor’s has assigned us an unsecured debt credit rating of BBB and a
ratings outlook of “stable." Fitch Ratings Inc. has assigned us an unsecured
debt credit rating of BBB and a ratings outlook of “stable.</t>
  </si>
  <si>
    <t xml:space="preserve">Stock Price </t>
  </si>
  <si>
    <t>Shares Outstanding (millions)</t>
  </si>
  <si>
    <t xml:space="preserve">Balance Sheet </t>
  </si>
  <si>
    <t>Liabilities &amp; Shareholders' Equity</t>
  </si>
  <si>
    <t>Current</t>
  </si>
  <si>
    <t>ST Debt &amp; Curr. Portion LT Debt</t>
  </si>
  <si>
    <t>Accounts Payable</t>
  </si>
  <si>
    <t>Income Tax Payable</t>
  </si>
  <si>
    <t>Other Current Liabilities</t>
  </si>
  <si>
    <t>Miscellaneous Current Liabilities</t>
  </si>
  <si>
    <t>Total Current Liabilities</t>
  </si>
  <si>
    <t>Long-Term</t>
  </si>
  <si>
    <t>Long-Term Debt</t>
  </si>
  <si>
    <t>Long-Term Debt excl Lease Obligations</t>
  </si>
  <si>
    <t>Capital and Operating Lease Obligations</t>
  </si>
  <si>
    <t>Income Statement</t>
  </si>
  <si>
    <t>Interest Expense</t>
  </si>
  <si>
    <t>SYY-US</t>
  </si>
  <si>
    <t>Sales</t>
  </si>
  <si>
    <t>Total</t>
  </si>
  <si>
    <t>United States Foodservice</t>
  </si>
  <si>
    <t>International Foodservice</t>
  </si>
  <si>
    <t>Sygma</t>
  </si>
  <si>
    <t>Other</t>
  </si>
  <si>
    <t>Historical Segments</t>
  </si>
  <si>
    <t>Growth (%)</t>
  </si>
  <si>
    <t xml:space="preserve">Assumptions </t>
  </si>
  <si>
    <t>FY26</t>
  </si>
  <si>
    <t>FY27</t>
  </si>
  <si>
    <t>FY28</t>
  </si>
  <si>
    <t>FY29</t>
  </si>
  <si>
    <t>FY30</t>
  </si>
  <si>
    <t xml:space="preserve">Sysco Organic sales growth </t>
  </si>
  <si>
    <t>Jetro sales added ($M)</t>
  </si>
  <si>
    <t xml:space="preserve">*based on management and then 4% growth </t>
  </si>
  <si>
    <t>Fiscal Year Sales (in millions)</t>
  </si>
  <si>
    <t xml:space="preserve">Segment </t>
  </si>
  <si>
    <t>United States</t>
  </si>
  <si>
    <t>Canada</t>
  </si>
  <si>
    <t>United Kingdom</t>
  </si>
  <si>
    <t xml:space="preserve">France </t>
  </si>
  <si>
    <t xml:space="preserve">FY 2028 </t>
  </si>
  <si>
    <t xml:space="preserve">2025 Total Sales by Segment </t>
  </si>
  <si>
    <t>Scenario</t>
  </si>
  <si>
    <t>Base</t>
  </si>
  <si>
    <t>Sysco Valuation Model</t>
  </si>
  <si>
    <t>Year Ended June 2025)</t>
  </si>
  <si>
    <t>Actuals</t>
  </si>
  <si>
    <t>Forecasts</t>
  </si>
  <si>
    <t>Year</t>
  </si>
  <si>
    <t>JUN'26</t>
  </si>
  <si>
    <t>JUN'27</t>
  </si>
  <si>
    <t>JUNE'28</t>
  </si>
  <si>
    <t>JUN'29</t>
  </si>
  <si>
    <t>JUN'30</t>
  </si>
  <si>
    <t>COGS</t>
  </si>
  <si>
    <t>Gross Profit</t>
  </si>
  <si>
    <t>R&amp;D</t>
  </si>
  <si>
    <t>SG&amp;A</t>
  </si>
  <si>
    <t>EBITDA</t>
  </si>
  <si>
    <t>Depreciation</t>
  </si>
  <si>
    <t>EBIT</t>
  </si>
  <si>
    <t>EBIT % Sales</t>
  </si>
  <si>
    <t>EBIT * (1-t)</t>
  </si>
  <si>
    <t xml:space="preserve">&lt;--Flat tax rate of 24% based on Syscos guidance </t>
  </si>
  <si>
    <t>Add back: Depreciation</t>
  </si>
  <si>
    <t>Less: Capex</t>
  </si>
  <si>
    <t>Less: Change in NWC</t>
  </si>
  <si>
    <t>FCFF</t>
  </si>
  <si>
    <t>Total Free Cash Flow (Perpetuity)</t>
  </si>
  <si>
    <t>Total Cash Flow (Exit Multiple)</t>
  </si>
  <si>
    <t>Tax Rate</t>
  </si>
  <si>
    <t xml:space="preserve">*expected to be approximately 23.5% to 24.0% in fiscal 2026. - this statement was in the ammual report </t>
  </si>
  <si>
    <t>Terminal Value: Perpetuity Method</t>
  </si>
  <si>
    <t>Perpetuity</t>
  </si>
  <si>
    <t>Exit Multiple</t>
  </si>
  <si>
    <t>Sum of DFCFs</t>
  </si>
  <si>
    <t>Terminal Growth Rate</t>
  </si>
  <si>
    <t>FCFF 2031</t>
  </si>
  <si>
    <t>Enterprise value</t>
  </si>
  <si>
    <t>Terminal Value (2030)</t>
  </si>
  <si>
    <t>Current Cash and Investments</t>
  </si>
  <si>
    <t>Terminal Value: Exit EBITDA Multiple</t>
  </si>
  <si>
    <t>Net Debt</t>
  </si>
  <si>
    <t>Exit Year EBITDA (2031)</t>
  </si>
  <si>
    <t>Equity value</t>
  </si>
  <si>
    <t>Multiple</t>
  </si>
  <si>
    <t>Number of shares (million)</t>
  </si>
  <si>
    <t xml:space="preserve">*Mkt Cap from factset </t>
  </si>
  <si>
    <t>Fair value/share</t>
  </si>
  <si>
    <t>Current Market Price</t>
  </si>
  <si>
    <t>Recommendation</t>
  </si>
  <si>
    <t>Comments</t>
  </si>
  <si>
    <t xml:space="preserve">Sysco sales </t>
  </si>
  <si>
    <t>Sysco sales growth</t>
  </si>
  <si>
    <t xml:space="preserve">&lt;-- $Deal expected to close by Q3 of 2027 (March 2027) so about half a year of Jetro rev in 2027 $8B for 2027, full $16B in 2028 then 4% growth </t>
  </si>
  <si>
    <t xml:space="preserve">Jetro sales growth </t>
  </si>
  <si>
    <t xml:space="preserve">Total sales growth </t>
  </si>
  <si>
    <t>CAGR</t>
  </si>
  <si>
    <t>Net sales</t>
  </si>
  <si>
    <t xml:space="preserve">COGS </t>
  </si>
  <si>
    <t xml:space="preserve">Gross COGS </t>
  </si>
  <si>
    <t xml:space="preserve">Use historical average </t>
  </si>
  <si>
    <t xml:space="preserve">Gross COGS % sales </t>
  </si>
  <si>
    <t>&lt;--Synergy savings based on company guidance</t>
  </si>
  <si>
    <t>Less: Synergy Savings (m)</t>
  </si>
  <si>
    <t xml:space="preserve">Net COGS </t>
  </si>
  <si>
    <t>Net COGS % Sales</t>
  </si>
  <si>
    <t>Operating Expenses</t>
  </si>
  <si>
    <t>SG&amp;A as % of Sales</t>
  </si>
  <si>
    <t>Working Capital Items</t>
  </si>
  <si>
    <t xml:space="preserve">Operating current assets and Liabilities </t>
  </si>
  <si>
    <t>I. Accounts Receivables</t>
  </si>
  <si>
    <t>AR  % of Sales</t>
  </si>
  <si>
    <t>Investment</t>
  </si>
  <si>
    <t>II. Inventory</t>
  </si>
  <si>
    <t>Inventory as % of Sales</t>
  </si>
  <si>
    <t xml:space="preserve">III. Other Current Assets </t>
  </si>
  <si>
    <t>Other as % of Sales</t>
  </si>
  <si>
    <t>IV. Accounts Payables</t>
  </si>
  <si>
    <t>AP as % of Sales</t>
  </si>
  <si>
    <t>V. Other current Liabilities</t>
  </si>
  <si>
    <t>Change in NWC</t>
  </si>
  <si>
    <t>Capex</t>
  </si>
  <si>
    <t>I. Capex</t>
  </si>
  <si>
    <t xml:space="preserve">% Capex Growth </t>
  </si>
  <si>
    <t xml:space="preserve">&lt;--use average </t>
  </si>
  <si>
    <t>Annual Capex as % of Sales</t>
  </si>
  <si>
    <t>II. Depreciation &amp; Amortization (Non-Cash Charges)</t>
  </si>
  <si>
    <t>Depreciation as % of Sales</t>
  </si>
  <si>
    <t>&lt;--Inconcisent historical trend, so use average of last 3 years</t>
  </si>
  <si>
    <t>Depreciation as % of Capex</t>
  </si>
  <si>
    <t>Sysco Corporation (SYY)</t>
  </si>
  <si>
    <t>$71.16</t>
  </si>
  <si>
    <t>Sysco Corporation</t>
  </si>
  <si>
    <t xml:space="preserve">SYY   871829107   2868165   NYSE    Common stock    </t>
  </si>
  <si>
    <t>Source: FactSet Fundamentals</t>
  </si>
  <si>
    <t xml:space="preserve">INCOME STATEMENT </t>
  </si>
  <si>
    <t>Cost of Goods Sold (COGS) incl. D&amp;A</t>
  </si>
  <si>
    <t>COGS excluding D&amp;A</t>
  </si>
  <si>
    <t>Depreciation &amp; Amortization Expense</t>
  </si>
  <si>
    <t>Amortization of Intangibles</t>
  </si>
  <si>
    <t>Gross Income</t>
  </si>
  <si>
    <t>SG&amp;A Expense</t>
  </si>
  <si>
    <t>Other SG&amp;A</t>
  </si>
  <si>
    <t>EBIT (Operating Income)</t>
  </si>
  <si>
    <t>Nonoperating Income - Net</t>
  </si>
  <si>
    <t>Other Income (Expense)</t>
  </si>
  <si>
    <t>Gross Interest Expense</t>
  </si>
  <si>
    <t>Unusual Expense - Net</t>
  </si>
  <si>
    <t>Impairments</t>
  </si>
  <si>
    <t>Goodwill</t>
  </si>
  <si>
    <t>Restructuring Expense</t>
  </si>
  <si>
    <t>Unrealized Valuation Gain/Loss</t>
  </si>
  <si>
    <t>Hedges/Derivatives</t>
  </si>
  <si>
    <t>Excpl Chrgs - Others</t>
  </si>
  <si>
    <t>Restructuring of Debt</t>
  </si>
  <si>
    <t>Pretax Income</t>
  </si>
  <si>
    <t xml:space="preserve">EFFECTIVE TAX RATE </t>
  </si>
  <si>
    <t>Income Taxes</t>
  </si>
  <si>
    <t>Income Taxes - Current Domestic</t>
  </si>
  <si>
    <t>Income Taxes - Deferred Domestic</t>
  </si>
  <si>
    <t>Consolidated Net Income</t>
  </si>
  <si>
    <t>Net Income available to Common</t>
  </si>
  <si>
    <t>Per Share</t>
  </si>
  <si>
    <t>EPS (recurring)</t>
  </si>
  <si>
    <t>EPS (basic)</t>
  </si>
  <si>
    <t>Basic Shares Outstanding</t>
  </si>
  <si>
    <t>Total Shares Outstanding</t>
  </si>
  <si>
    <t>EPS (diluted)</t>
  </si>
  <si>
    <t>Diluted Shares Outstanding</t>
  </si>
  <si>
    <t>Earnings Persistence</t>
  </si>
  <si>
    <t>Dividends per Share</t>
  </si>
  <si>
    <t>Payout Ratio</t>
  </si>
  <si>
    <t>All figures in millions of U.S. Dollar except per share items.</t>
  </si>
  <si>
    <t>BALANCE SHEET</t>
  </si>
  <si>
    <t>Assets</t>
  </si>
  <si>
    <t>Cash &amp; Short-Term Investments</t>
  </si>
  <si>
    <t>Cash Only</t>
  </si>
  <si>
    <t>Short-Term Receivables</t>
  </si>
  <si>
    <t>Accounts Receivables, Net</t>
  </si>
  <si>
    <t>Accounts Receivables, Gross</t>
  </si>
  <si>
    <t>Bad Debt/Doubtful Accounts</t>
  </si>
  <si>
    <t>Other Receivables</t>
  </si>
  <si>
    <t>Inventories</t>
  </si>
  <si>
    <t>Finished Goods</t>
  </si>
  <si>
    <t>Other Current Assets</t>
  </si>
  <si>
    <t>Miscellaneous Current Assets</t>
  </si>
  <si>
    <t>Total Current Assets</t>
  </si>
  <si>
    <t>Net Property, Plant &amp; Equipment</t>
  </si>
  <si>
    <t>Property, Plant &amp; Equipment - Gross</t>
  </si>
  <si>
    <t>Buildings</t>
  </si>
  <si>
    <t>Land &amp; Improvements</t>
  </si>
  <si>
    <t>Computer Software and Equipment</t>
  </si>
  <si>
    <t>Other Property, Plant &amp; Equipment</t>
  </si>
  <si>
    <t>Operating Lease Right-of-Use Assets</t>
  </si>
  <si>
    <t>Accumulated Depreciation</t>
  </si>
  <si>
    <t xml:space="preserve">Total Long-Term Investments </t>
  </si>
  <si>
    <t>Other Long-Term Investments</t>
  </si>
  <si>
    <t>Intangible Assets</t>
  </si>
  <si>
    <t>Other Intangible Assets</t>
  </si>
  <si>
    <t>Deferred Tax Assets</t>
  </si>
  <si>
    <t>Other Assets</t>
  </si>
  <si>
    <t>Deferred Charges</t>
  </si>
  <si>
    <t>Tangible Other Assets</t>
  </si>
  <si>
    <t>Total Assets</t>
  </si>
  <si>
    <t>Provision for Risks &amp; Charges</t>
  </si>
  <si>
    <t>Deferred Tax Liabilities</t>
  </si>
  <si>
    <t>Other Liabilities</t>
  </si>
  <si>
    <t>Other Liabilities (excl. Deferred Income)</t>
  </si>
  <si>
    <t>Total Liabilities</t>
  </si>
  <si>
    <t>Equity</t>
  </si>
  <si>
    <t>Common Equity</t>
  </si>
  <si>
    <t>Common Stock Par/Carry Value</t>
  </si>
  <si>
    <t>Additional Paid-In Capital/Capital Surplus</t>
  </si>
  <si>
    <t>Retained Earnings</t>
  </si>
  <si>
    <t>Cumulative Translation Adjustment/Unrealized For. Exch. Gain</t>
  </si>
  <si>
    <t>Unrealized Gain/Loss Marketable Securities</t>
  </si>
  <si>
    <t>Other Appropriated Reserves</t>
  </si>
  <si>
    <t>Treasury Stock</t>
  </si>
  <si>
    <t>Total Shareholders' Equity</t>
  </si>
  <si>
    <t>Accumulated Minority Interest</t>
  </si>
  <si>
    <t>Total Equity</t>
  </si>
  <si>
    <t>Total Liabilities &amp; Shareholders' Equity</t>
  </si>
  <si>
    <t>Book Value per Share</t>
  </si>
  <si>
    <t>Tangible Book Value per Share</t>
  </si>
  <si>
    <t>CASH FLOW</t>
  </si>
  <si>
    <t>Operating Activities</t>
  </si>
  <si>
    <t>Net Income / Starting Line</t>
  </si>
  <si>
    <t>Depreciation, Depletion &amp; Amortization</t>
  </si>
  <si>
    <t>*WHICH DEP DO I USE?</t>
  </si>
  <si>
    <t>Deferred Taxes &amp; Investment Tax Credit</t>
  </si>
  <si>
    <t>Deferred Taxes</t>
  </si>
  <si>
    <t>Other Funds</t>
  </si>
  <si>
    <t>Funds from Operations</t>
  </si>
  <si>
    <t>Changes in Working Capital</t>
  </si>
  <si>
    <t>Receivables</t>
  </si>
  <si>
    <t>Income Taxes Payable</t>
  </si>
  <si>
    <t>Other Accruals</t>
  </si>
  <si>
    <t>Other Assets/Liabilities</t>
  </si>
  <si>
    <t>Net Operating Cash Flow</t>
  </si>
  <si>
    <t>Investing Activities</t>
  </si>
  <si>
    <t>Capital Expenditures</t>
  </si>
  <si>
    <t>Capital Expenditures (Fixed Assets)</t>
  </si>
  <si>
    <t>Net Assets from Acquisitions</t>
  </si>
  <si>
    <t>Sale of Fixed Assets &amp; Businesses</t>
  </si>
  <si>
    <t>Purchase/Sale of Investments</t>
  </si>
  <si>
    <t>Purchase of Investments</t>
  </si>
  <si>
    <t>Sale/Maturity of Investments</t>
  </si>
  <si>
    <t>Other Sources</t>
  </si>
  <si>
    <t>Net Investing Cash Flow</t>
  </si>
  <si>
    <t>Financing Activities</t>
  </si>
  <si>
    <t>Common Dividends</t>
  </si>
  <si>
    <t>Repurchase of Common &amp; Preferred Stk.</t>
  </si>
  <si>
    <t>Sale of Common &amp; Preferred Stock</t>
  </si>
  <si>
    <t>Proceeds from Stock Options</t>
  </si>
  <si>
    <t>Issuance/Reduction of Debt, Net</t>
  </si>
  <si>
    <t>Change in Current Debt</t>
  </si>
  <si>
    <t>Change in Long-Term Debt</t>
  </si>
  <si>
    <t>Issuance of Long-Term Debt</t>
  </si>
  <si>
    <t>Reduction in Long-Term Debt</t>
  </si>
  <si>
    <t>Other Uses</t>
  </si>
  <si>
    <t>Net Financing Cash Flow</t>
  </si>
  <si>
    <t>All Activities</t>
  </si>
  <si>
    <t>Exchange Rate Effect</t>
  </si>
  <si>
    <t>Net Change in Cash</t>
  </si>
  <si>
    <t>Free Cash Flow</t>
  </si>
  <si>
    <t>Free Cash Flow per Share</t>
  </si>
  <si>
    <t>Free Cash Flow Yield (%)</t>
  </si>
  <si>
    <t>SYY   871829107   2868165   NYSE    Common stock    </t>
  </si>
  <si>
    <t>LTM</t>
  </si>
  <si>
    <t>Restate</t>
  </si>
  <si>
    <t>Depreciation and Depletion</t>
  </si>
  <si>
    <t>Amortization of Intangible Assets</t>
  </si>
  <si>
    <t>Proceeds from Sale of Stock</t>
  </si>
  <si>
    <t>$71.32</t>
  </si>
  <si>
    <t>Other Operating Expense</t>
  </si>
  <si>
    <t>Interest Capitalized</t>
  </si>
  <si>
    <t>Exceptional Provisions</t>
  </si>
  <si>
    <t>Calamitous Events</t>
  </si>
  <si>
    <t>Income Taxes - Current Foreign</t>
  </si>
  <si>
    <t>$71.53</t>
  </si>
  <si>
    <t>Total Short Term Investments</t>
  </si>
  <si>
    <t>Prepaid Expenses</t>
  </si>
  <si>
    <t>Machinery &amp; Equipment</t>
  </si>
  <si>
    <t>US Foods Holding Corp.</t>
  </si>
  <si>
    <t> </t>
  </si>
  <si>
    <t>USFD   912008109   BYVFC94   NYSE    Common stock    </t>
  </si>
  <si>
    <t>DEC '24</t>
  </si>
  <si>
    <t>DEC '23</t>
  </si>
  <si>
    <t>DEC '22</t>
  </si>
  <si>
    <t>DEC '21</t>
  </si>
  <si>
    <t>Construction in Progress</t>
  </si>
  <si>
    <t>Leases</t>
  </si>
  <si>
    <t>Transportation Equipment</t>
  </si>
  <si>
    <t>Total Long-Term Investments </t>
  </si>
  <si>
    <t>Long-Term Note Receivable</t>
  </si>
  <si>
    <t>Accrued Payroll</t>
  </si>
  <si>
    <t>Preferred Stock (Carrying Value)</t>
  </si>
  <si>
    <t>Redeemable Preferred Stock</t>
  </si>
  <si>
    <t>SYY   871829107   2868165   NYSE    Common stock    </t>
  </si>
  <si>
    <t xml:space="preserve">Sysco </t>
  </si>
  <si>
    <t>USFD</t>
  </si>
  <si>
    <t>PFGC</t>
  </si>
  <si>
    <t>UNFI</t>
  </si>
  <si>
    <t> Profitability</t>
  </si>
  <si>
    <t>Ratios</t>
  </si>
  <si>
    <t>Gross Margin</t>
  </si>
  <si>
    <t>Profitability</t>
  </si>
  <si>
    <t>SG&amp;A to Sales</t>
  </si>
  <si>
    <t>Operating Margin</t>
  </si>
  <si>
    <t>Net Margin</t>
  </si>
  <si>
    <t>Pretax Margin</t>
  </si>
  <si>
    <t>Return on Assets</t>
  </si>
  <si>
    <t>Return on Equity </t>
  </si>
  <si>
    <t>Free Cash Flow Margin</t>
  </si>
  <si>
    <t>Return on Invested Capital</t>
  </si>
  <si>
    <t>Free Cash Flow Conversion Ratio</t>
  </si>
  <si>
    <t> Operating Efficiency</t>
  </si>
  <si>
    <t>Capex To Sales</t>
  </si>
  <si>
    <t>Days of Sales Outstanding</t>
  </si>
  <si>
    <t xml:space="preserve">Operating Efficiency </t>
  </si>
  <si>
    <t>Days of Payables Outstanding</t>
  </si>
  <si>
    <t xml:space="preserve"> Net Operating Cycle</t>
  </si>
  <si>
    <t>Return on Common Equity</t>
  </si>
  <si>
    <t> Leverage</t>
  </si>
  <si>
    <t>Return on Total Capital</t>
  </si>
  <si>
    <t>Total Debt/Total Assets (%)</t>
  </si>
  <si>
    <t xml:space="preserve">Leverage </t>
  </si>
  <si>
    <t>Cash Flow Return on Invested Capital</t>
  </si>
  <si>
    <t xml:space="preserve">Coverage </t>
  </si>
  <si>
    <t> Valuation</t>
  </si>
  <si>
    <t xml:space="preserve">(EBITDA-Capex)/Interest Expense </t>
  </si>
  <si>
    <t>Enterprise Value/EBIT</t>
  </si>
  <si>
    <t>Net Debt/(EBITDA-Capex)</t>
  </si>
  <si>
    <t>Enterprise Value/EBITDA</t>
  </si>
  <si>
    <t>Enterprise Value/Sales</t>
  </si>
  <si>
    <t>Total Debt/Enterprise Value</t>
  </si>
  <si>
    <t> Per Share</t>
  </si>
  <si>
    <t>Sales per Share</t>
  </si>
  <si>
    <t>EBIT (Operating Income) per Share</t>
  </si>
  <si>
    <t>Dividend Payout Ratio (%)</t>
  </si>
  <si>
    <t>Cash Flow per Share</t>
  </si>
  <si>
    <t>Diluted Shares Outstanding  (M)</t>
  </si>
  <si>
    <t>Basic Shares Outstanding  (M)</t>
  </si>
  <si>
    <t>Total Shares Outstanding  (M)</t>
  </si>
  <si>
    <t> Asset Turnover Analysis</t>
  </si>
  <si>
    <t>Cash &amp; ST Investments</t>
  </si>
  <si>
    <t>Current Assets</t>
  </si>
  <si>
    <t>Fixed Assets</t>
  </si>
  <si>
    <t> DuPont Analysis</t>
  </si>
  <si>
    <t>   Asset Turnover (x)</t>
  </si>
  <si>
    <t>    x Pretax Margin (%)</t>
  </si>
  <si>
    <t> = Pretax Return on Assets (%)</t>
  </si>
  <si>
    <t>    x Tax Rate Complement (1-Tax Rate) (%)</t>
  </si>
  <si>
    <t> = Return on Assets (%)</t>
  </si>
  <si>
    <t>    x Equity Multiplier (Assets/Equity)</t>
  </si>
  <si>
    <t> = Return on Equity (%)</t>
  </si>
  <si>
    <t>    x Earnings Retention (1-Payout) (%)</t>
  </si>
  <si>
    <t> = Reinvestment Rate (%)</t>
  </si>
  <si>
    <t>Note: EBIT Return on Assets (%)</t>
  </si>
  <si>
    <t>Note: Interest as % Assets</t>
  </si>
  <si>
    <t>Revenue/Employee (actual)</t>
  </si>
  <si>
    <t>Net Income/Employee (actual)</t>
  </si>
  <si>
    <t>Assets/Employee (actual)</t>
  </si>
  <si>
    <t>Receivables Turnover</t>
  </si>
  <si>
    <t>Inventory Turnover</t>
  </si>
  <si>
    <t>Payables Turnover</t>
  </si>
  <si>
    <t>Asset Turnover </t>
  </si>
  <si>
    <t>Working Capital Turnover</t>
  </si>
  <si>
    <t> Operating Cycle - Days</t>
  </si>
  <si>
    <t>   Days of Inventory on Hand</t>
  </si>
  <si>
    <t>    + Days of Sales Outstanding</t>
  </si>
  <si>
    <t> = Operating Cycle</t>
  </si>
  <si>
    <t>    - Days of Payables Outstanding</t>
  </si>
  <si>
    <t> = Net Operating Cycle</t>
  </si>
  <si>
    <t> Liquidity</t>
  </si>
  <si>
    <t>Current Ratio (x)</t>
  </si>
  <si>
    <t>Quick Ratio (x)</t>
  </si>
  <si>
    <t>Cash Ratio</t>
  </si>
  <si>
    <t>Cash &amp; ST Inv/Current Assets</t>
  </si>
  <si>
    <t>CFO/Current Liabilities</t>
  </si>
  <si>
    <t> Coverage</t>
  </si>
  <si>
    <t>Net Debt/EBITDA</t>
  </si>
  <si>
    <t>Total Debt/EBITDA</t>
  </si>
  <si>
    <t>EBIT/Interest Expense (Int. Coverage)</t>
  </si>
  <si>
    <t>EBITDA/Interest Expense</t>
  </si>
  <si>
    <t>Fixed-charge Coverage Ratio</t>
  </si>
  <si>
    <t>CFO/Interest Expense</t>
  </si>
  <si>
    <t>Cash Dividend Coverage Ratio</t>
  </si>
  <si>
    <t>LT Debt/EBITDA</t>
  </si>
  <si>
    <t>Net Debt/FFO</t>
  </si>
  <si>
    <t>LT Debt/FFO</t>
  </si>
  <si>
    <t>FCF/Total Debt</t>
  </si>
  <si>
    <t>CFO/Total Debt</t>
  </si>
  <si>
    <t>Total Debt/EBIT</t>
  </si>
  <si>
    <t>Net Debt/EBIT</t>
  </si>
  <si>
    <t>EBITDA-Capex/Interest Expense</t>
  </si>
  <si>
    <t>LT Debt/Total Equity</t>
  </si>
  <si>
    <t>LT Debt/Total Capital</t>
  </si>
  <si>
    <t>LT Debt/Total Assets</t>
  </si>
  <si>
    <t>Net Debt/Total Equity (%)</t>
  </si>
  <si>
    <t>Total Debt/Equity (%)</t>
  </si>
  <si>
    <t>Net Debt/Total Capital</t>
  </si>
  <si>
    <t>Total Debt/Total Capital</t>
  </si>
  <si>
    <t>All figures in millions of U.S. Dollar except per share and labeled items.</t>
  </si>
  <si>
    <t>EV/EBITDA</t>
  </si>
  <si>
    <t>EPS</t>
  </si>
  <si>
    <t>Sysco Comparable Valuation</t>
  </si>
  <si>
    <t>Company</t>
  </si>
  <si>
    <t>P/E</t>
  </si>
  <si>
    <t>EV/EBIT</t>
  </si>
  <si>
    <t xml:space="preserve">Comparable Markets </t>
  </si>
  <si>
    <t xml:space="preserve">annual report says adjusted EPS of 4.46 which is higher </t>
  </si>
  <si>
    <t>US Food Holding Corp (USFD)</t>
  </si>
  <si>
    <t>Implied Enterprise Value</t>
  </si>
  <si>
    <t>Performance Food Group Company (PFGC)</t>
  </si>
  <si>
    <t>Debt </t>
  </si>
  <si>
    <t>United Natural Food Inc (UNFI)</t>
  </si>
  <si>
    <t>Cash </t>
  </si>
  <si>
    <t xml:space="preserve">why is cash for fisical vs calendar year so different </t>
  </si>
  <si>
    <t>Implied equity value</t>
  </si>
  <si>
    <t xml:space="preserve">Target </t>
  </si>
  <si>
    <t>Sysco (SYY)</t>
  </si>
  <si>
    <t>Value per share</t>
  </si>
  <si>
    <t>US Foods Holding Corp. (USFD)</t>
  </si>
  <si>
    <t>Performance Food Group Co (PFGC)</t>
  </si>
  <si>
    <t>United Natural Foods, Inc. (UNFI)</t>
  </si>
  <si>
    <t>Performance Food Group Co</t>
  </si>
  <si>
    <t>United Natural Foods, Inc.</t>
  </si>
  <si>
    <t>PFGC   71377A103   BYVYD43   NYSE    Common stock    </t>
  </si>
  <si>
    <t>UNFI   911163103   2895163   NYSE    Common stock    </t>
  </si>
  <si>
    <t>2.  DEBT AND OTHER FINANCING ARRANGEMENTS</t>
  </si>
  <si>
    <t>Jun. 28, 2025</t>
  </si>
  <si>
    <t>Jun. 29, 2024</t>
  </si>
  <si>
    <t>(In millions)</t>
  </si>
  <si>
    <t>Euro Commercial paper, interest at 2.22%, maturing in fiscal 2026</t>
  </si>
  <si>
    <t>$</t>
  </si>
  <si>
    <t>205 </t>
  </si>
  <si>
    <t>— </t>
  </si>
  <si>
    <t>U.S. Commercial paper, interest at 5.45%, matured in fiscal 2025</t>
  </si>
  <si>
    <t>200 </t>
  </si>
  <si>
    <r>
      <t>Senior notes, interest at 3.65%, matured in fiscal 2025 </t>
    </r>
    <r>
      <rPr>
        <sz val="5.85"/>
        <color rgb="FF000000"/>
        <rFont val="Times New Roman"/>
        <family val="1"/>
        <charset val="1"/>
      </rPr>
      <t>(1)</t>
    </r>
  </si>
  <si>
    <t>365 </t>
  </si>
  <si>
    <r>
      <t>Senior notes, interest at 3.75%, maturing in fiscal 2026</t>
    </r>
    <r>
      <rPr>
        <sz val="5.85"/>
        <color rgb="FF000000"/>
        <rFont val="Times New Roman"/>
        <family val="1"/>
        <charset val="1"/>
      </rPr>
      <t> (1)(2)</t>
    </r>
  </si>
  <si>
    <t>750 </t>
  </si>
  <si>
    <t>749 </t>
  </si>
  <si>
    <r>
      <t>Senior notes, interest at 3.30%, maturing in fiscal 2027</t>
    </r>
    <r>
      <rPr>
        <sz val="5.85"/>
        <color rgb="FF000000"/>
        <rFont val="Times New Roman"/>
        <family val="1"/>
        <charset val="1"/>
      </rPr>
      <t> (1)(2)</t>
    </r>
  </si>
  <si>
    <t>999 </t>
  </si>
  <si>
    <t>998 </t>
  </si>
  <si>
    <r>
      <t>Debentures, interest at 7.16%, maturing in fiscal 2027</t>
    </r>
    <r>
      <rPr>
        <sz val="5.85"/>
        <color rgb="FF000000"/>
        <rFont val="Times New Roman"/>
        <family val="1"/>
        <charset val="1"/>
      </rPr>
      <t> (2)(3)</t>
    </r>
  </si>
  <si>
    <t>43 </t>
  </si>
  <si>
    <r>
      <t>Senior notes, interest at 3.25%, maturing in fiscal 2028</t>
    </r>
    <r>
      <rPr>
        <sz val="5.85"/>
        <color rgb="FF000000"/>
        <rFont val="Times New Roman"/>
        <family val="1"/>
        <charset val="1"/>
      </rPr>
      <t> (1)(2)</t>
    </r>
  </si>
  <si>
    <t>748 </t>
  </si>
  <si>
    <t>747 </t>
  </si>
  <si>
    <r>
      <t>Debentures, interest at 6.50%, maturing in fiscal 2029</t>
    </r>
    <r>
      <rPr>
        <sz val="5.85"/>
        <color rgb="FF000000"/>
        <rFont val="Times New Roman"/>
        <family val="1"/>
        <charset val="1"/>
      </rPr>
      <t> (2)</t>
    </r>
  </si>
  <si>
    <t>155 </t>
  </si>
  <si>
    <r>
      <t>Senior notes, interest at 5.75%, maturing in fiscal 2029 </t>
    </r>
    <r>
      <rPr>
        <sz val="5.85"/>
        <color rgb="FF000000"/>
        <rFont val="Times New Roman"/>
        <family val="1"/>
        <charset val="1"/>
      </rPr>
      <t>(1)(2)</t>
    </r>
  </si>
  <si>
    <t>497 </t>
  </si>
  <si>
    <t>496 </t>
  </si>
  <si>
    <r>
      <t>Senior notes, interest at 2.40%, maturing in fiscal 2030 </t>
    </r>
    <r>
      <rPr>
        <sz val="5.85"/>
        <color rgb="FF000000"/>
        <rFont val="Times New Roman"/>
        <family val="1"/>
        <charset val="1"/>
      </rPr>
      <t>(1)(2)</t>
    </r>
  </si>
  <si>
    <r>
      <t>Senior notes, interest at 5.95%, maturing in fiscal 2030 </t>
    </r>
    <r>
      <rPr>
        <sz val="5.85"/>
        <color rgb="FF000000"/>
        <rFont val="Times New Roman"/>
        <family val="1"/>
        <charset val="1"/>
      </rPr>
      <t>(1)(2)</t>
    </r>
  </si>
  <si>
    <r>
      <t>Senior notes, interest at 5.10%, maturing in fiscal 2031 </t>
    </r>
    <r>
      <rPr>
        <sz val="5.85"/>
        <color rgb="FF000000"/>
        <rFont val="Times New Roman"/>
        <family val="1"/>
        <charset val="1"/>
      </rPr>
      <t>(1)(2)</t>
    </r>
  </si>
  <si>
    <r>
      <t>Senior notes, interest at 2.45%, maturing in fiscal 2032 </t>
    </r>
    <r>
      <rPr>
        <sz val="5.85"/>
        <color rgb="FF000000"/>
        <rFont val="Times New Roman"/>
        <family val="1"/>
        <charset val="1"/>
      </rPr>
      <t>(1)(2)</t>
    </r>
  </si>
  <si>
    <r>
      <t>Senior notes, interest at 6.00%, maturing in fiscal 2034 </t>
    </r>
    <r>
      <rPr>
        <sz val="5.85"/>
        <color rgb="FF000000"/>
        <rFont val="Times New Roman"/>
        <family val="1"/>
        <charset val="1"/>
      </rPr>
      <t>(1)(2)</t>
    </r>
  </si>
  <si>
    <t>507 </t>
  </si>
  <si>
    <t>498 </t>
  </si>
  <si>
    <r>
      <t>Senior notes, interest at 5.40%, maturing in fiscal 2035 </t>
    </r>
    <r>
      <rPr>
        <sz val="5.85"/>
        <color rgb="FF000000"/>
        <rFont val="Times New Roman"/>
        <family val="1"/>
        <charset val="1"/>
      </rPr>
      <t>(1)(2)</t>
    </r>
  </si>
  <si>
    <r>
      <t>Senior notes, interest at 5.375%, maturing in fiscal 2036 </t>
    </r>
    <r>
      <rPr>
        <sz val="5.85"/>
        <color rgb="FF000000"/>
        <rFont val="Times New Roman"/>
        <family val="1"/>
        <charset val="1"/>
      </rPr>
      <t>(1)(2)</t>
    </r>
  </si>
  <si>
    <t>383 </t>
  </si>
  <si>
    <r>
      <t>Senior notes, interest at 6.625%, maturing in fiscal 2039 </t>
    </r>
    <r>
      <rPr>
        <sz val="5.85"/>
        <color rgb="FF000000"/>
        <rFont val="Times New Roman"/>
        <family val="1"/>
        <charset val="1"/>
      </rPr>
      <t>(1)(2)</t>
    </r>
  </si>
  <si>
    <r>
      <t>Senior notes, interest at 6.60%, maturing in fiscal 2040 </t>
    </r>
    <r>
      <rPr>
        <sz val="5.85"/>
        <color rgb="FF000000"/>
        <rFont val="Times New Roman"/>
        <family val="1"/>
        <charset val="1"/>
      </rPr>
      <t>(1)(2)</t>
    </r>
  </si>
  <si>
    <t>350 </t>
  </si>
  <si>
    <r>
      <t>Senior notes, interest at 4.85%, maturing in fiscal 2046</t>
    </r>
    <r>
      <rPr>
        <sz val="5.85"/>
        <color rgb="FF000000"/>
        <rFont val="Times New Roman"/>
        <family val="1"/>
        <charset val="1"/>
      </rPr>
      <t> (1)(2)</t>
    </r>
  </si>
  <si>
    <r>
      <t>Senior notes, interest at 4.50%, maturing in fiscal 2046</t>
    </r>
    <r>
      <rPr>
        <sz val="5.85"/>
        <color rgb="FF000000"/>
        <rFont val="Times New Roman"/>
        <family val="1"/>
        <charset val="1"/>
      </rPr>
      <t> (1)(2)</t>
    </r>
  </si>
  <si>
    <t>495 </t>
  </si>
  <si>
    <r>
      <t>Senior notes, interest at 4.45%, maturing in fiscal 2048 </t>
    </r>
    <r>
      <rPr>
        <sz val="5.85"/>
        <color rgb="FF000000"/>
        <rFont val="Times New Roman"/>
        <family val="1"/>
        <charset val="1"/>
      </rPr>
      <t>(1)(2)</t>
    </r>
  </si>
  <si>
    <t>493 </t>
  </si>
  <si>
    <r>
      <t>Senior notes, interest at 3.30%, maturing in fiscal 2050 </t>
    </r>
    <r>
      <rPr>
        <sz val="5.85"/>
        <color rgb="FF000000"/>
        <rFont val="Times New Roman"/>
        <family val="1"/>
        <charset val="1"/>
      </rPr>
      <t>(1)(2)</t>
    </r>
  </si>
  <si>
    <r>
      <t>Senior notes, interest at 6.60%, maturing in fiscal 2050 </t>
    </r>
    <r>
      <rPr>
        <sz val="5.85"/>
        <color rgb="FF000000"/>
        <rFont val="Times New Roman"/>
        <family val="1"/>
        <charset val="1"/>
      </rPr>
      <t>(1)(2)</t>
    </r>
  </si>
  <si>
    <t>1,177 </t>
  </si>
  <si>
    <r>
      <t>Senior notes, interest at 3.15%, maturing in fiscal 2052 </t>
    </r>
    <r>
      <rPr>
        <sz val="5.85"/>
        <color rgb="FF000000"/>
        <rFont val="Times New Roman"/>
        <family val="1"/>
        <charset val="1"/>
      </rPr>
      <t>(1)(2)</t>
    </r>
  </si>
  <si>
    <t>788 </t>
  </si>
  <si>
    <t>Plant and equipment financing programs, finance leases, notes payable, and other debt, interest averaging 5.14% and maturing at various dates to fiscal 2052 as of June 28, 2025, and 5.13% and maturing at various dates to fiscal 2052 as of June 29, 2024</t>
  </si>
  <si>
    <t>1,330 </t>
  </si>
  <si>
    <t>916 </t>
  </si>
  <si>
    <t>Total debt</t>
  </si>
  <si>
    <t>13,309 </t>
  </si>
  <si>
    <t>11,982 </t>
  </si>
  <si>
    <t>Less current maturities of long-term debt</t>
  </si>
  <si>
    <t>Net long-term debt</t>
  </si>
  <si>
    <t>Principal product catageories</t>
  </si>
  <si>
    <t>Sysco Corporation – Principal Product Categories (% of Sales)</t>
  </si>
  <si>
    <t>Fresh and frozen meats</t>
  </si>
  <si>
    <t>Product Category</t>
  </si>
  <si>
    <t>FY2025</t>
  </si>
  <si>
    <t>FY2024</t>
  </si>
  <si>
    <t>FY2023</t>
  </si>
  <si>
    <t>FY2022</t>
  </si>
  <si>
    <t>FY2021</t>
  </si>
  <si>
    <t>Canned and dry products </t>
  </si>
  <si>
    <t>Canned and dry products</t>
  </si>
  <si>
    <t>Frozen fruits, vegetables, bakery and other</t>
  </si>
  <si>
    <t>Dairy products </t>
  </si>
  <si>
    <t>Poultry</t>
  </si>
  <si>
    <t>Dairy products</t>
  </si>
  <si>
    <t>Fresh produce</t>
  </si>
  <si>
    <t>Paper and disposables</t>
  </si>
  <si>
    <t>Beverage products </t>
  </si>
  <si>
    <t>Seafood</t>
  </si>
  <si>
    <t>Equipment and smallwares </t>
  </si>
  <si>
    <t>Beverage products</t>
  </si>
  <si>
    <t>Other </t>
  </si>
  <si>
    <t>Equipment and smallwares</t>
  </si>
  <si>
    <t>l</t>
  </si>
  <si>
    <t>Type of Customer</t>
  </si>
  <si>
    <t>Restaurants</t>
  </si>
  <si>
    <t>Eductaion, government </t>
  </si>
  <si>
    <t>Healthcare</t>
  </si>
  <si>
    <t>Travel and leisure</t>
  </si>
  <si>
    <t>Sysco Corporation – Sales by Type of Customer (% of Sales)</t>
  </si>
  <si>
    <t>Customer Type</t>
  </si>
  <si>
    <t>Education, government</t>
  </si>
  <si>
    <t>TOTALS</t>
  </si>
  <si>
    <t>Less: Assets from Acquisitions</t>
  </si>
  <si>
    <t xml:space="preserve">&lt;-- based on management guidance </t>
  </si>
  <si>
    <t xml:space="preserve">*sales growth of approximately 3% to 5% to approximately $84 billion to $85 billion in 2026 </t>
  </si>
  <si>
    <t>*avg growth rate over past 10 yrs</t>
  </si>
  <si>
    <t xml:space="preserve">Cost of equity </t>
  </si>
  <si>
    <t xml:space="preserve">*using cost of equity from WACC calculations </t>
  </si>
  <si>
    <t>CF6</t>
  </si>
  <si>
    <t xml:space="preserve">&lt;-- Based on the CBO's Budget and Economic Outlook 2025 to 2035 US GDP Growth Rate </t>
  </si>
  <si>
    <t>other CL as % of Sales</t>
  </si>
  <si>
    <t xml:space="preserve"> Selling, General and Adminstrative Expenses (exc depreciation)</t>
  </si>
  <si>
    <t>*to showcase once debt is more managable, SYY will be more aggressive with DIV growth rate</t>
  </si>
  <si>
    <t xml:space="preserve">last year rate/ historical </t>
  </si>
  <si>
    <t xml:space="preserve">historical average </t>
  </si>
  <si>
    <t xml:space="preserve">Last 2 years of historical </t>
  </si>
  <si>
    <t>*Very conservative assuption based on $1B cash paid for Jetro acquisition to in 2027. Not likely they will be making any large aquistions for next few years after the 1B but estimating based on historical trend to be conservative</t>
  </si>
  <si>
    <t>&lt;-- Use SYY EV/EBITDA Multiple from comps tab</t>
  </si>
  <si>
    <t>Levered beta calculated from WACC tab</t>
  </si>
  <si>
    <t>Levered Beta</t>
  </si>
  <si>
    <t>Debt/equity after acqusition</t>
  </si>
  <si>
    <t>B(levered)=B(UnL)(1+D/E(1-tax))</t>
  </si>
  <si>
    <t>Debt/equity before acqusition</t>
  </si>
  <si>
    <t>Unlevered Beta</t>
  </si>
  <si>
    <t xml:space="preserve">YTM or risk free+ default spread </t>
  </si>
  <si>
    <t>WACC FOR ACQUSITION</t>
  </si>
  <si>
    <t>BEFORE CONSIDERING ACQUISITION</t>
  </si>
  <si>
    <t>Company Beta</t>
  </si>
  <si>
    <t>WACC FOR MODEL</t>
  </si>
  <si>
    <t xml:space="preserve">Attempt 1: </t>
  </si>
  <si>
    <t>P/S</t>
  </si>
  <si>
    <t>Revenue (M)</t>
  </si>
  <si>
    <t>Market Cap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</si>
</sst>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8" formatCode="&quot;$&quot;#,##0.00_);[Red]\(&quot;$&quot;#,##0.00\)"/>
    <numFmt numFmtId="44" formatCode="_(&quot;$&quot;* #,##0.00_);_(&quot;$&quot;* \(#,##0.00\);_(&quot;$&quot;* &quot;-&quot;??_);_(@_)"/>
    <numFmt numFmtId="43" formatCode="_(* #,##0.00_);_(* \(#,##0.00\);_(* &quot;-&quot;??_);_(@_)"/>
    <numFmt numFmtId="164" formatCode="0.0%"/>
    <numFmt numFmtId="165" formatCode="_(* #,##0.00_);_(* \(#,##0.00\)_)\ ;_(* 0.00_)"/>
    <numFmt numFmtId="166" formatCode="0.000"/>
    <numFmt numFmtId="167" formatCode="#,##0.0"/>
    <numFmt numFmtId="168" formatCode="_(* #,##0_);_(* \(#,##0\);_(* &quot;-&quot;??_);_(@_)"/>
    <numFmt numFmtId="169" formatCode="_([$$-409]* #,##0.00_);_([$$-409]* \(#,##0.00\);_([$$-409]* &quot;-&quot;??_);_(@_)"/>
    <numFmt numFmtId="170" formatCode="0\A"/>
    <numFmt numFmtId="171" formatCode="0&quot;E&quot;"/>
    <numFmt numFmtId="172" formatCode="#,##0.0_);\(#,##0.0\)"/>
    <numFmt numFmtId="173" formatCode="0.000%"/>
    <numFmt numFmtId="174" formatCode="0.0"/>
    <numFmt numFmtId="175" formatCode="_(* #,##0.0_);_(* \(#,##0.0\);_(* &quot;-&quot;??_);_(@_)"/>
  </numFmts>
  <fonts count="115">
    <font>
      <sz val="12"/>
      <color theme="1"/>
      <name val="Aptos Narrow"/>
      <family val="2"/>
      <scheme val="minor"/>
    </font>
    <font>
      <sz val="12"/>
      <color theme="1"/>
      <name val="Aptos Narrow"/>
      <family val="2"/>
      <scheme val="minor"/>
    </font>
    <font>
      <sz val="10"/>
      <color theme="1"/>
      <name val="Arial"/>
      <family val="2"/>
    </font>
    <font>
      <b/>
      <sz val="10"/>
      <color theme="1"/>
      <name val="Arial"/>
      <family val="2"/>
    </font>
    <font>
      <b/>
      <sz val="10"/>
      <color rgb="FF003366"/>
      <name val="Arial"/>
      <family val="2"/>
    </font>
    <font>
      <sz val="10"/>
      <color rgb="FFFF0000"/>
      <name val="Arial"/>
      <family val="2"/>
    </font>
    <font>
      <sz val="10"/>
      <color rgb="FF808080"/>
      <name val="Arial"/>
      <family val="2"/>
    </font>
    <font>
      <sz val="10"/>
      <color rgb="FF646464"/>
      <name val="Arial"/>
      <family val="2"/>
    </font>
    <font>
      <b/>
      <sz val="10"/>
      <color rgb="FF000000"/>
      <name val="Arial"/>
      <family val="2"/>
    </font>
    <font>
      <sz val="10"/>
      <color rgb="FF000000"/>
      <name val="Arial"/>
      <family val="2"/>
    </font>
    <font>
      <sz val="12"/>
      <name val="Times New Roman"/>
      <family val="1"/>
    </font>
    <font>
      <sz val="12"/>
      <color theme="3" tint="0.249977111117893"/>
      <name val="Times New Roman"/>
      <family val="1"/>
    </font>
    <font>
      <sz val="12"/>
      <color theme="1"/>
      <name val="Times New Roman"/>
      <family val="1"/>
    </font>
    <font>
      <sz val="12"/>
      <color rgb="FFFF0000"/>
      <name val="Times New Roman"/>
      <family val="1"/>
    </font>
    <font>
      <b/>
      <sz val="12"/>
      <name val="Times New Roman"/>
      <family val="1"/>
    </font>
    <font>
      <sz val="10"/>
      <color indexed="8"/>
      <name val="Arial"/>
      <family val="2"/>
    </font>
    <font>
      <b/>
      <i/>
      <sz val="10"/>
      <color rgb="FF000000"/>
      <name val="Arial"/>
      <family val="2"/>
    </font>
    <font>
      <sz val="12"/>
      <color rgb="FF000000"/>
      <name val="Aptos Narrow"/>
      <family val="2"/>
      <scheme val="minor"/>
    </font>
    <font>
      <sz val="8"/>
      <name val="Aptos Narrow"/>
      <family val="2"/>
      <scheme val="minor"/>
    </font>
    <font>
      <b/>
      <u/>
      <sz val="8"/>
      <color rgb="FF000000"/>
      <name val="Tahoma"/>
      <family val="2"/>
      <charset val="1"/>
    </font>
    <font>
      <sz val="8"/>
      <color rgb="FF222B35"/>
      <name val="Tahoma"/>
      <family val="2"/>
      <charset val="1"/>
    </font>
    <font>
      <sz val="8"/>
      <color rgb="FFFFFFFF"/>
      <name val="Tahoma"/>
      <family val="2"/>
      <charset val="1"/>
    </font>
    <font>
      <sz val="8"/>
      <color rgb="FF000000"/>
      <name val="Tahoma"/>
      <family val="2"/>
      <charset val="1"/>
    </font>
    <font>
      <b/>
      <u/>
      <sz val="8"/>
      <color rgb="FFFFFFFF"/>
      <name val="Tahoma"/>
      <family val="2"/>
      <charset val="1"/>
    </font>
    <font>
      <b/>
      <u/>
      <sz val="8"/>
      <name val="Tahoma"/>
      <family val="2"/>
      <charset val="1"/>
    </font>
    <font>
      <i/>
      <sz val="8"/>
      <color rgb="FF000000"/>
      <name val="Tahoma"/>
      <family val="2"/>
      <charset val="1"/>
    </font>
    <font>
      <b/>
      <sz val="8"/>
      <color rgb="FF000000"/>
      <name val="Tahoma"/>
      <family val="2"/>
      <charset val="1"/>
    </font>
    <font>
      <sz val="10"/>
      <color rgb="FF000000"/>
      <name val="Arial"/>
      <family val="2"/>
      <charset val="1"/>
    </font>
    <font>
      <sz val="10"/>
      <color rgb="FFFF0000"/>
      <name val="Arial"/>
      <family val="2"/>
      <charset val="1"/>
    </font>
    <font>
      <b/>
      <sz val="12"/>
      <color theme="1"/>
      <name val="Aptos Narrow"/>
      <scheme val="minor"/>
    </font>
    <font>
      <b/>
      <sz val="16"/>
      <color theme="1"/>
      <name val="Aptos Narrow"/>
      <scheme val="minor"/>
    </font>
    <font>
      <b/>
      <u/>
      <sz val="12"/>
      <color theme="1"/>
      <name val="Aptos Narrow"/>
      <scheme val="minor"/>
    </font>
    <font>
      <u/>
      <sz val="12"/>
      <color theme="10"/>
      <name val="Aptos Narrow"/>
      <family val="2"/>
      <scheme val="minor"/>
    </font>
    <font>
      <sz val="8"/>
      <color theme="1"/>
      <name val="Tahoma"/>
      <family val="2"/>
    </font>
    <font>
      <sz val="10"/>
      <color theme="1"/>
      <name val="Palatino Linotype"/>
      <family val="1"/>
    </font>
    <font>
      <b/>
      <sz val="10"/>
      <name val="Palatino Linotype"/>
      <family val="1"/>
    </font>
    <font>
      <b/>
      <sz val="8"/>
      <name val="Tahoma"/>
      <family val="2"/>
    </font>
    <font>
      <b/>
      <sz val="8"/>
      <color theme="0"/>
      <name val="Tahoma"/>
      <family val="2"/>
    </font>
    <font>
      <sz val="8"/>
      <color rgb="FF0070C0"/>
      <name val="Tahoma"/>
      <family val="2"/>
    </font>
    <font>
      <sz val="8"/>
      <name val="Tahoma"/>
      <family val="2"/>
    </font>
    <font>
      <u val="singleAccounting"/>
      <sz val="8"/>
      <color rgb="FF0070C0"/>
      <name val="Tahoma"/>
      <family val="2"/>
    </font>
    <font>
      <u val="singleAccounting"/>
      <sz val="8"/>
      <name val="Tahoma"/>
      <family val="2"/>
    </font>
    <font>
      <b/>
      <sz val="8"/>
      <color theme="1"/>
      <name val="Tahoma"/>
      <family val="2"/>
    </font>
    <font>
      <b/>
      <i/>
      <sz val="8"/>
      <color theme="1"/>
      <name val="Tahoma"/>
      <family val="2"/>
    </font>
    <font>
      <i/>
      <sz val="8"/>
      <color theme="1"/>
      <name val="Tahoma"/>
      <family val="2"/>
    </font>
    <font>
      <u val="singleAccounting"/>
      <sz val="8"/>
      <color theme="1"/>
      <name val="Tahoma"/>
      <family val="2"/>
    </font>
    <font>
      <b/>
      <u/>
      <sz val="8"/>
      <color rgb="FF000000"/>
      <name val="Tahoma"/>
      <family val="2"/>
    </font>
    <font>
      <sz val="8"/>
      <color rgb="FF222B35"/>
      <name val="Tahoma"/>
      <family val="2"/>
    </font>
    <font>
      <sz val="8"/>
      <color rgb="FFFFFFFF"/>
      <name val="Tahoma"/>
      <family val="2"/>
    </font>
    <font>
      <sz val="8"/>
      <color rgb="FF000000"/>
      <name val="Tahoma"/>
      <family val="2"/>
    </font>
    <font>
      <b/>
      <u/>
      <sz val="8"/>
      <name val="Tahoma"/>
      <family val="2"/>
    </font>
    <font>
      <i/>
      <sz val="8"/>
      <name val="Tahoma"/>
      <family val="2"/>
    </font>
    <font>
      <i/>
      <sz val="8"/>
      <color rgb="FFFF0000"/>
      <name val="Tahoma"/>
      <family val="2"/>
    </font>
    <font>
      <i/>
      <sz val="8"/>
      <color rgb="FF0070C0"/>
      <name val="Tahoma"/>
      <family val="2"/>
    </font>
    <font>
      <b/>
      <i/>
      <sz val="8"/>
      <name val="Tahoma"/>
      <family val="2"/>
    </font>
    <font>
      <b/>
      <sz val="8"/>
      <color rgb="FFFFFFFF"/>
      <name val="Tahoma"/>
      <family val="2"/>
    </font>
    <font>
      <b/>
      <sz val="8"/>
      <color rgb="FF000000"/>
      <name val="Tahoma"/>
      <family val="2"/>
    </font>
    <font>
      <b/>
      <i/>
      <sz val="8"/>
      <color rgb="FF000000"/>
      <name val="Tahoma"/>
      <family val="2"/>
    </font>
    <font>
      <sz val="11"/>
      <color rgb="FF000000"/>
      <name val="Calibri"/>
      <family val="2"/>
    </font>
    <font>
      <i/>
      <sz val="8"/>
      <color rgb="FF305496"/>
      <name val="Tahoma"/>
      <family val="2"/>
    </font>
    <font>
      <i/>
      <sz val="8"/>
      <color rgb="FF000000"/>
      <name val="Tahoma"/>
      <family val="2"/>
    </font>
    <font>
      <sz val="8"/>
      <color rgb="FF305496"/>
      <name val="Tahoma"/>
      <family val="2"/>
    </font>
    <font>
      <b/>
      <sz val="10"/>
      <color rgb="FF000000"/>
      <name val="Times New Roman"/>
      <family val="1"/>
      <charset val="1"/>
    </font>
    <font>
      <sz val="9"/>
      <color rgb="FF000000"/>
      <name val="Times New Roman"/>
      <family val="1"/>
      <charset val="1"/>
    </font>
    <font>
      <b/>
      <sz val="9"/>
      <color rgb="FF000000"/>
      <name val="Times New Roman"/>
      <family val="1"/>
      <charset val="1"/>
    </font>
    <font>
      <sz val="5.85"/>
      <color rgb="FF000000"/>
      <name val="Times New Roman"/>
      <family val="1"/>
      <charset val="1"/>
    </font>
    <font>
      <i/>
      <sz val="8"/>
      <color theme="3" tint="0.499984740745262"/>
      <name val="Tahoma"/>
      <family val="2"/>
    </font>
    <font>
      <sz val="8"/>
      <color theme="1"/>
      <name val="Tahoma"/>
      <family val="2"/>
      <charset val="1"/>
    </font>
    <font>
      <sz val="10"/>
      <name val="Arial"/>
      <family val="2"/>
    </font>
    <font>
      <b/>
      <sz val="10"/>
      <name val="Frutiger 45 Light"/>
      <charset val="1"/>
    </font>
    <font>
      <b/>
      <sz val="10"/>
      <name val="Sabon"/>
      <charset val="1"/>
    </font>
    <font>
      <sz val="9"/>
      <name val="Arial Narrow"/>
      <family val="2"/>
    </font>
    <font>
      <b/>
      <sz val="9"/>
      <name val="Arial Narrow"/>
      <family val="2"/>
    </font>
    <font>
      <b/>
      <sz val="8"/>
      <name val="Frutiger 45 Light"/>
      <charset val="1"/>
    </font>
    <font>
      <sz val="8"/>
      <name val="Frutiger 45 Light"/>
      <charset val="1"/>
    </font>
    <font>
      <sz val="8"/>
      <color rgb="FF0000FF"/>
      <name val="Frutiger 45 Light"/>
      <charset val="1"/>
    </font>
    <font>
      <sz val="7"/>
      <color rgb="FF000000"/>
      <name val="Frutiger 45 Light"/>
      <charset val="1"/>
    </font>
    <font>
      <sz val="10"/>
      <name val="Sabon"/>
      <charset val="1"/>
    </font>
    <font>
      <sz val="6"/>
      <color rgb="FF000000"/>
      <name val="Frutiger 45 Light"/>
      <charset val="1"/>
    </font>
    <font>
      <sz val="9"/>
      <name val="Frutiger 45 Light"/>
      <charset val="1"/>
    </font>
    <font>
      <sz val="10"/>
      <name val="Frutiger 45 Light"/>
      <charset val="1"/>
    </font>
    <font>
      <b/>
      <sz val="10"/>
      <name val="Sabon"/>
    </font>
    <font>
      <sz val="10"/>
      <name val="Sabon"/>
    </font>
    <font>
      <vertAlign val="subscript"/>
      <sz val="8"/>
      <name val="Frutiger 45 Light"/>
    </font>
    <font>
      <vertAlign val="subscript"/>
      <sz val="9"/>
      <name val="Frutiger 45 Light"/>
    </font>
    <font>
      <sz val="12"/>
      <name val="UBS Investment Bank"/>
    </font>
    <font>
      <b/>
      <sz val="14"/>
      <color rgb="FF232A31"/>
      <name val="Arial"/>
      <family val="2"/>
    </font>
    <font>
      <sz val="14"/>
      <color rgb="FF232A31"/>
      <name val="Arial"/>
      <family val="2"/>
    </font>
    <font>
      <sz val="11"/>
      <color rgb="FF242424"/>
      <name val="Aptos Narrow"/>
    </font>
    <font>
      <b/>
      <sz val="8"/>
      <color rgb="FF0070C0"/>
      <name val="Tahoma"/>
      <family val="2"/>
    </font>
    <font>
      <sz val="8"/>
      <color theme="0"/>
      <name val="Tahoma"/>
      <family val="2"/>
    </font>
    <font>
      <b/>
      <u/>
      <sz val="8"/>
      <color theme="1"/>
      <name val="Tahoma"/>
      <family val="2"/>
    </font>
    <font>
      <b/>
      <sz val="10"/>
      <color theme="0"/>
      <name val="Arial"/>
      <family val="2"/>
    </font>
    <font>
      <b/>
      <i/>
      <sz val="8"/>
      <color theme="0"/>
      <name val="Tahoma"/>
      <family val="2"/>
    </font>
    <font>
      <sz val="12"/>
      <color theme="1"/>
      <name val="Arial"/>
      <family val="2"/>
    </font>
    <font>
      <b/>
      <sz val="12"/>
      <color theme="1"/>
      <name val="Arial"/>
      <family val="2"/>
    </font>
    <font>
      <sz val="9"/>
      <color indexed="8"/>
      <name val="Frutiger 45 Light"/>
      <family val="2"/>
    </font>
    <font>
      <b/>
      <sz val="9"/>
      <name val="Frutiger 45 Light"/>
      <family val="2"/>
    </font>
    <font>
      <sz val="9"/>
      <name val="Frutiger 45 Light"/>
      <family val="2"/>
    </font>
    <font>
      <sz val="10"/>
      <name val="Frutiger 45 Light"/>
      <family val="2"/>
    </font>
    <font>
      <b/>
      <sz val="10"/>
      <name val="Frutiger 45 Light"/>
      <family val="2"/>
    </font>
    <font>
      <sz val="6"/>
      <color indexed="8"/>
      <name val="Frutiger 45 Light"/>
      <family val="2"/>
    </font>
    <font>
      <sz val="6"/>
      <name val="Frutiger 45 Light"/>
      <family val="2"/>
    </font>
    <font>
      <sz val="7"/>
      <color indexed="8"/>
      <name val="Frutiger 45 Light"/>
      <family val="2"/>
    </font>
    <font>
      <sz val="8"/>
      <name val="Frutiger 45 Light"/>
      <family val="2"/>
    </font>
    <font>
      <b/>
      <sz val="8"/>
      <name val="Frutiger 45 Light"/>
      <family val="2"/>
    </font>
    <font>
      <sz val="8"/>
      <color indexed="39"/>
      <name val="Frutiger 45 Light"/>
      <family val="2"/>
    </font>
    <font>
      <i/>
      <sz val="8"/>
      <color indexed="8"/>
      <name val="Frutiger 45 Light"/>
      <family val="2"/>
    </font>
    <font>
      <sz val="7"/>
      <name val="Frutiger 45 Light"/>
      <family val="2"/>
    </font>
    <font>
      <b/>
      <sz val="8"/>
      <color indexed="8"/>
      <name val="Frutiger 45 Light"/>
      <family val="2"/>
    </font>
    <font>
      <sz val="8"/>
      <color indexed="8"/>
      <name val="Frutiger 45 Light"/>
      <family val="2"/>
    </font>
    <font>
      <b/>
      <sz val="8"/>
      <color indexed="39"/>
      <name val="Frutiger 45 Light"/>
      <family val="2"/>
    </font>
    <font>
      <b/>
      <u/>
      <sz val="8"/>
      <name val="Frutiger 45 Light"/>
    </font>
    <font>
      <b/>
      <u/>
      <sz val="20"/>
      <name val="Frutiger 45 Light"/>
      <family val="2"/>
    </font>
    <font>
      <sz val="8"/>
      <color theme="1"/>
      <name val="Frutiger 45 Light"/>
      <family val="2"/>
    </font>
  </fonts>
  <fills count="30">
    <fill>
      <patternFill patternType="none"/>
    </fill>
    <fill>
      <patternFill patternType="gray125"/>
    </fill>
    <fill>
      <patternFill patternType="solid">
        <fgColor rgb="FFC8C8C8"/>
        <bgColor indexed="64"/>
      </patternFill>
    </fill>
    <fill>
      <patternFill patternType="solid">
        <fgColor rgb="FFF0F0F0"/>
        <bgColor indexed="64"/>
      </patternFill>
    </fill>
    <fill>
      <patternFill patternType="solid">
        <fgColor rgb="FFF0F0F0"/>
        <bgColor rgb="FF000000"/>
      </patternFill>
    </fill>
    <fill>
      <patternFill patternType="solid">
        <fgColor theme="5"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FFFC00"/>
        <bgColor indexed="64"/>
      </patternFill>
    </fill>
    <fill>
      <patternFill patternType="solid">
        <fgColor rgb="FF002060"/>
        <bgColor indexed="64"/>
      </patternFill>
    </fill>
    <fill>
      <patternFill patternType="solid">
        <fgColor rgb="FFFFFF00"/>
        <bgColor indexed="64"/>
      </patternFill>
    </fill>
    <fill>
      <patternFill patternType="solid">
        <fgColor theme="2"/>
        <bgColor indexed="64"/>
      </patternFill>
    </fill>
    <fill>
      <patternFill patternType="solid">
        <fgColor theme="0" tint="-0.249977111117893"/>
        <bgColor indexed="64"/>
      </patternFill>
    </fill>
    <fill>
      <patternFill patternType="solid">
        <fgColor rgb="FFF0F0F0"/>
      </patternFill>
    </fill>
    <fill>
      <patternFill patternType="solid">
        <fgColor rgb="FFC8C8C8"/>
      </patternFill>
    </fill>
    <fill>
      <patternFill patternType="solid">
        <fgColor theme="4" tint="0.79995117038483843"/>
        <bgColor indexed="65"/>
      </patternFill>
    </fill>
    <fill>
      <patternFill patternType="solid">
        <fgColor rgb="FF002060"/>
        <bgColor rgb="FF000000"/>
      </patternFill>
    </fill>
    <fill>
      <patternFill patternType="solid">
        <fgColor rgb="FFF2F2F2"/>
        <bgColor rgb="FF000000"/>
      </patternFill>
    </fill>
    <fill>
      <patternFill patternType="solid">
        <fgColor rgb="FFFFC000"/>
        <bgColor rgb="FF000000"/>
      </patternFill>
    </fill>
    <fill>
      <patternFill patternType="solid">
        <fgColor rgb="FFFFFFFF"/>
        <bgColor rgb="FF000000"/>
      </patternFill>
    </fill>
    <fill>
      <patternFill patternType="solid">
        <fgColor rgb="FFCCEEFF"/>
        <bgColor indexed="64"/>
      </patternFill>
    </fill>
    <fill>
      <patternFill patternType="solid">
        <fgColor rgb="FFFFFFFF"/>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rgb="FFE6F6FC"/>
        <bgColor indexed="64"/>
      </patternFill>
    </fill>
    <fill>
      <patternFill patternType="solid">
        <fgColor rgb="FF92D050"/>
        <bgColor indexed="64"/>
      </patternFill>
    </fill>
    <fill>
      <patternFill patternType="solid">
        <fgColor theme="6" tint="0.39997558519241921"/>
        <bgColor indexed="64"/>
      </patternFill>
    </fill>
  </fills>
  <borders count="55">
    <border>
      <left/>
      <right/>
      <top/>
      <bottom/>
      <diagonal/>
    </border>
    <border>
      <left/>
      <right/>
      <top/>
      <bottom style="thin">
        <color rgb="FF000000"/>
      </bottom>
      <diagonal/>
    </border>
    <border>
      <left/>
      <right/>
      <top style="thin">
        <color rgb="FF000000"/>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right style="thin">
        <color auto="1"/>
      </right>
      <top/>
      <bottom/>
      <diagonal/>
    </border>
    <border>
      <left/>
      <right/>
      <top style="medium">
        <color auto="1"/>
      </top>
      <bottom style="medium">
        <color auto="1"/>
      </bottom>
      <diagonal/>
    </border>
    <border>
      <left/>
      <right style="thin">
        <color auto="1"/>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style="medium">
        <color auto="1"/>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rgb="FF000000"/>
      </top>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style="hair">
        <color indexed="64"/>
      </right>
      <top/>
      <bottom style="hair">
        <color indexed="64"/>
      </bottom>
      <diagonal/>
    </border>
    <border>
      <left/>
      <right/>
      <top style="thin">
        <color indexed="64"/>
      </top>
      <bottom/>
      <diagonal/>
    </border>
    <border>
      <left/>
      <right style="hair">
        <color indexed="64"/>
      </right>
      <top/>
      <bottom/>
      <diagonal/>
    </border>
    <border>
      <left/>
      <right style="medium">
        <color indexed="64"/>
      </right>
      <top style="thin">
        <color auto="1"/>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8">
    <xf numFmtId="0" fontId="0" fillId="0" borderId="0"/>
    <xf numFmtId="9" fontId="1" fillId="0" borderId="0" applyFont="0" applyFill="0" applyBorder="0" applyAlignment="0" applyProtection="0"/>
    <xf numFmtId="43" fontId="1" fillId="0" borderId="0" applyFont="0" applyFill="0" applyBorder="0" applyAlignment="0" applyProtection="0"/>
    <xf numFmtId="0" fontId="32" fillId="0" borderId="0" applyNumberFormat="0" applyFill="0" applyBorder="0" applyAlignment="0" applyProtection="0"/>
    <xf numFmtId="0" fontId="2" fillId="0" borderId="0"/>
    <xf numFmtId="9" fontId="2" fillId="0" borderId="0" applyFont="0" applyFill="0" applyBorder="0" applyAlignment="0" applyProtection="0"/>
    <xf numFmtId="44" fontId="1" fillId="0" borderId="0" applyFont="0" applyFill="0" applyBorder="0" applyAlignment="0" applyProtection="0"/>
    <xf numFmtId="0" fontId="68" fillId="0" borderId="0"/>
  </cellStyleXfs>
  <cellXfs count="673">
    <xf numFmtId="0" fontId="0" fillId="0" borderId="0" xfId="0"/>
    <xf numFmtId="0" fontId="3" fillId="0" borderId="0" xfId="0" applyFont="1"/>
    <xf numFmtId="0" fontId="2" fillId="0" borderId="0" xfId="0" applyFont="1"/>
    <xf numFmtId="8" fontId="2" fillId="0" borderId="0" xfId="0" applyNumberFormat="1" applyFont="1"/>
    <xf numFmtId="0" fontId="4" fillId="0" borderId="0" xfId="0" applyFont="1"/>
    <xf numFmtId="4" fontId="2" fillId="0" borderId="0" xfId="0" applyNumberFormat="1" applyFont="1"/>
    <xf numFmtId="4" fontId="4" fillId="0" borderId="0" xfId="0" applyNumberFormat="1" applyFont="1"/>
    <xf numFmtId="0" fontId="5" fillId="0" borderId="0" xfId="0" applyFont="1"/>
    <xf numFmtId="4" fontId="5" fillId="0" borderId="0" xfId="0" applyNumberFormat="1" applyFont="1"/>
    <xf numFmtId="0" fontId="6" fillId="0" borderId="0" xfId="0" applyFont="1"/>
    <xf numFmtId="0" fontId="0" fillId="0" borderId="1" xfId="0" applyBorder="1"/>
    <xf numFmtId="0" fontId="0" fillId="0" borderId="2" xfId="0" applyBorder="1"/>
    <xf numFmtId="0" fontId="3" fillId="2" borderId="0" xfId="0" applyFont="1" applyFill="1" applyAlignment="1">
      <alignment horizontal="left"/>
    </xf>
    <xf numFmtId="0" fontId="4" fillId="0" borderId="0" xfId="0" applyFont="1" applyAlignment="1">
      <alignment horizontal="left"/>
    </xf>
    <xf numFmtId="3" fontId="4" fillId="0" borderId="0" xfId="0" applyNumberFormat="1" applyFont="1" applyAlignment="1">
      <alignment horizontal="right"/>
    </xf>
    <xf numFmtId="0" fontId="4" fillId="3" borderId="0" xfId="0" applyFont="1" applyFill="1" applyAlignment="1">
      <alignment horizontal="left" indent="3"/>
    </xf>
    <xf numFmtId="3" fontId="4" fillId="3" borderId="0" xfId="0" applyNumberFormat="1" applyFont="1" applyFill="1" applyAlignment="1">
      <alignment horizontal="right"/>
    </xf>
    <xf numFmtId="0" fontId="0" fillId="0" borderId="0" xfId="0" applyAlignment="1">
      <alignment horizontal="left" indent="4"/>
    </xf>
    <xf numFmtId="3" fontId="0" fillId="0" borderId="0" xfId="0" applyNumberFormat="1" applyAlignment="1">
      <alignment horizontal="right"/>
    </xf>
    <xf numFmtId="0" fontId="4" fillId="3" borderId="0" xfId="0" applyFont="1" applyFill="1" applyAlignment="1">
      <alignment horizontal="left" indent="6"/>
    </xf>
    <xf numFmtId="0" fontId="0" fillId="0" borderId="0" xfId="0" applyAlignment="1">
      <alignment horizontal="left" indent="7"/>
    </xf>
    <xf numFmtId="0" fontId="0" fillId="0" borderId="0" xfId="0" applyAlignment="1">
      <alignment horizontal="left"/>
    </xf>
    <xf numFmtId="0" fontId="0" fillId="3" borderId="0" xfId="0" applyFill="1" applyAlignment="1">
      <alignment horizontal="left" indent="7"/>
    </xf>
    <xf numFmtId="0" fontId="0" fillId="3" borderId="0" xfId="0" applyFill="1" applyAlignment="1">
      <alignment horizontal="left"/>
    </xf>
    <xf numFmtId="3" fontId="0" fillId="3" borderId="0" xfId="0" applyNumberFormat="1" applyFill="1" applyAlignment="1">
      <alignment horizontal="right"/>
    </xf>
    <xf numFmtId="0" fontId="4" fillId="3" borderId="0" xfId="0" applyFont="1" applyFill="1" applyAlignment="1">
      <alignment horizontal="left"/>
    </xf>
    <xf numFmtId="0" fontId="0" fillId="3" borderId="0" xfId="0" applyFill="1" applyAlignment="1">
      <alignment horizontal="left" indent="1"/>
    </xf>
    <xf numFmtId="3" fontId="5" fillId="3" borderId="0" xfId="0" applyNumberFormat="1" applyFont="1" applyFill="1" applyAlignment="1">
      <alignment horizontal="right"/>
    </xf>
    <xf numFmtId="3" fontId="5" fillId="0" borderId="0" xfId="0" applyNumberFormat="1" applyFont="1" applyAlignment="1">
      <alignment horizontal="right"/>
    </xf>
    <xf numFmtId="0" fontId="0" fillId="3" borderId="0" xfId="0" applyFill="1" applyAlignment="1">
      <alignment horizontal="left" indent="4"/>
    </xf>
    <xf numFmtId="0" fontId="4" fillId="0" borderId="0" xfId="0" applyFont="1" applyAlignment="1">
      <alignment horizontal="left" indent="3"/>
    </xf>
    <xf numFmtId="4" fontId="0" fillId="3" borderId="0" xfId="0" applyNumberFormat="1" applyFill="1" applyAlignment="1">
      <alignment horizontal="right"/>
    </xf>
    <xf numFmtId="4" fontId="4" fillId="0" borderId="0" xfId="0" applyNumberFormat="1" applyFont="1" applyAlignment="1">
      <alignment horizontal="right"/>
    </xf>
    <xf numFmtId="4" fontId="0" fillId="0" borderId="0" xfId="0" applyNumberFormat="1" applyAlignment="1">
      <alignment horizontal="right"/>
    </xf>
    <xf numFmtId="4" fontId="4" fillId="3" borderId="0" xfId="0" applyNumberFormat="1" applyFont="1" applyFill="1" applyAlignment="1">
      <alignment horizontal="right"/>
    </xf>
    <xf numFmtId="0" fontId="0" fillId="0" borderId="0" xfId="0" applyAlignment="1">
      <alignment horizontal="left" indent="1"/>
    </xf>
    <xf numFmtId="0" fontId="7" fillId="0" borderId="0" xfId="0" applyFont="1" applyAlignment="1">
      <alignment horizontal="left"/>
    </xf>
    <xf numFmtId="0" fontId="8" fillId="0" borderId="0" xfId="0" applyFont="1"/>
    <xf numFmtId="0" fontId="9" fillId="0" borderId="0" xfId="0" applyFont="1"/>
    <xf numFmtId="0" fontId="9" fillId="0" borderId="2" xfId="0" applyFont="1" applyBorder="1"/>
    <xf numFmtId="0" fontId="10" fillId="0" borderId="0" xfId="0" applyFont="1"/>
    <xf numFmtId="0" fontId="10" fillId="0" borderId="7" xfId="0" applyFont="1" applyBorder="1"/>
    <xf numFmtId="0" fontId="10" fillId="0" borderId="0" xfId="0" applyFont="1" applyAlignment="1">
      <alignment horizontal="center"/>
    </xf>
    <xf numFmtId="0" fontId="12" fillId="0" borderId="0" xfId="0" applyFont="1"/>
    <xf numFmtId="10" fontId="12" fillId="0" borderId="0" xfId="0" applyNumberFormat="1" applyFont="1"/>
    <xf numFmtId="3" fontId="13" fillId="0" borderId="0" xfId="0" applyNumberFormat="1" applyFont="1" applyAlignment="1">
      <alignment horizontal="right"/>
    </xf>
    <xf numFmtId="0" fontId="4" fillId="0" borderId="0" xfId="0" applyFont="1" applyAlignment="1">
      <alignment horizontal="left" indent="6"/>
    </xf>
    <xf numFmtId="4" fontId="5" fillId="3" borderId="0" xfId="0" applyNumberFormat="1" applyFont="1" applyFill="1" applyAlignment="1">
      <alignment horizontal="right"/>
    </xf>
    <xf numFmtId="0" fontId="16" fillId="0" borderId="0" xfId="0" applyFont="1" applyAlignment="1">
      <alignment horizontal="center"/>
    </xf>
    <xf numFmtId="166" fontId="17" fillId="0" borderId="0" xfId="0" applyNumberFormat="1" applyFont="1"/>
    <xf numFmtId="10" fontId="17" fillId="0" borderId="0" xfId="0" applyNumberFormat="1" applyFont="1"/>
    <xf numFmtId="43" fontId="17" fillId="0" borderId="0" xfId="0" applyNumberFormat="1" applyFont="1"/>
    <xf numFmtId="4" fontId="0" fillId="0" borderId="0" xfId="0" applyNumberFormat="1"/>
    <xf numFmtId="0" fontId="15" fillId="0" borderId="0" xfId="0" applyFont="1"/>
    <xf numFmtId="10" fontId="0" fillId="0" borderId="0" xfId="1" applyNumberFormat="1" applyFont="1" applyFill="1" applyBorder="1"/>
    <xf numFmtId="0" fontId="8" fillId="0" borderId="0" xfId="0" applyFont="1" applyAlignment="1">
      <alignment horizontal="left"/>
    </xf>
    <xf numFmtId="0" fontId="22" fillId="0" borderId="0" xfId="0" applyFont="1"/>
    <xf numFmtId="0" fontId="4" fillId="12" borderId="0" xfId="0" applyFont="1" applyFill="1" applyAlignment="1">
      <alignment horizontal="left" indent="3"/>
    </xf>
    <xf numFmtId="164" fontId="0" fillId="0" borderId="0" xfId="1" applyNumberFormat="1" applyFont="1"/>
    <xf numFmtId="164" fontId="0" fillId="0" borderId="0" xfId="1" applyNumberFormat="1" applyFont="1" applyFill="1"/>
    <xf numFmtId="164" fontId="0" fillId="0" borderId="0" xfId="0" applyNumberFormat="1"/>
    <xf numFmtId="0" fontId="14" fillId="0" borderId="7" xfId="0" applyFont="1" applyBorder="1" applyAlignment="1">
      <alignment horizontal="center" wrapText="1"/>
    </xf>
    <xf numFmtId="0" fontId="14" fillId="0" borderId="0" xfId="0" applyFont="1" applyAlignment="1">
      <alignment horizontal="center" wrapText="1"/>
    </xf>
    <xf numFmtId="164" fontId="10" fillId="0" borderId="0" xfId="0" applyNumberFormat="1" applyFont="1"/>
    <xf numFmtId="0" fontId="14" fillId="0" borderId="0" xfId="0" applyFont="1" applyAlignment="1">
      <alignment wrapText="1"/>
    </xf>
    <xf numFmtId="43" fontId="12" fillId="0" borderId="0" xfId="2" applyFont="1"/>
    <xf numFmtId="165" fontId="10" fillId="0" borderId="0" xfId="0" applyNumberFormat="1" applyFont="1" applyAlignment="1">
      <alignment horizontal="center"/>
    </xf>
    <xf numFmtId="43" fontId="10" fillId="0" borderId="0" xfId="0" applyNumberFormat="1" applyFont="1" applyAlignment="1">
      <alignment horizontal="center"/>
    </xf>
    <xf numFmtId="164" fontId="10" fillId="0" borderId="0" xfId="0" applyNumberFormat="1" applyFont="1" applyAlignment="1">
      <alignment horizontal="center"/>
    </xf>
    <xf numFmtId="10" fontId="0" fillId="0" borderId="0" xfId="0" applyNumberFormat="1"/>
    <xf numFmtId="9" fontId="0" fillId="0" borderId="0" xfId="0" applyNumberFormat="1"/>
    <xf numFmtId="0" fontId="0" fillId="0" borderId="15" xfId="0" applyBorder="1"/>
    <xf numFmtId="43" fontId="29" fillId="0" borderId="15" xfId="0" applyNumberFormat="1" applyFont="1" applyBorder="1"/>
    <xf numFmtId="0" fontId="30" fillId="0" borderId="0" xfId="0" applyFont="1"/>
    <xf numFmtId="0" fontId="31" fillId="0" borderId="0" xfId="0" applyFont="1"/>
    <xf numFmtId="0" fontId="33" fillId="0" borderId="0" xfId="0" applyFont="1"/>
    <xf numFmtId="0" fontId="32" fillId="0" borderId="0" xfId="3" applyAlignment="1" applyProtection="1">
      <alignment horizontal="center"/>
    </xf>
    <xf numFmtId="0" fontId="34" fillId="0" borderId="0" xfId="0" applyFont="1"/>
    <xf numFmtId="0" fontId="35" fillId="12" borderId="0" xfId="0" applyFont="1" applyFill="1" applyAlignment="1">
      <alignment vertical="top"/>
    </xf>
    <xf numFmtId="14" fontId="37" fillId="11" borderId="16" xfId="0" applyNumberFormat="1" applyFont="1" applyFill="1" applyBorder="1"/>
    <xf numFmtId="168" fontId="39" fillId="14" borderId="16" xfId="0" applyNumberFormat="1" applyFont="1" applyFill="1" applyBorder="1"/>
    <xf numFmtId="168" fontId="33" fillId="8" borderId="16" xfId="0" applyNumberFormat="1" applyFont="1" applyFill="1" applyBorder="1"/>
    <xf numFmtId="168" fontId="33" fillId="8" borderId="0" xfId="2" applyNumberFormat="1" applyFont="1" applyFill="1" applyBorder="1" applyAlignment="1">
      <alignment horizontal="right"/>
    </xf>
    <xf numFmtId="168" fontId="33" fillId="8" borderId="16" xfId="2" applyNumberFormat="1" applyFont="1" applyFill="1" applyBorder="1" applyAlignment="1">
      <alignment horizontal="right"/>
    </xf>
    <xf numFmtId="0" fontId="43" fillId="0" borderId="12" xfId="0" applyFont="1" applyBorder="1" applyAlignment="1">
      <alignment horizontal="right"/>
    </xf>
    <xf numFmtId="10" fontId="44" fillId="0" borderId="17" xfId="1" applyNumberFormat="1" applyFont="1" applyBorder="1" applyAlignment="1">
      <alignment horizontal="right"/>
    </xf>
    <xf numFmtId="10" fontId="44" fillId="0" borderId="18" xfId="1" applyNumberFormat="1" applyFont="1" applyBorder="1" applyAlignment="1">
      <alignment horizontal="right"/>
    </xf>
    <xf numFmtId="168" fontId="45" fillId="8" borderId="0" xfId="2" applyNumberFormat="1" applyFont="1" applyFill="1" applyBorder="1" applyAlignment="1">
      <alignment horizontal="right"/>
    </xf>
    <xf numFmtId="0" fontId="4" fillId="12" borderId="0" xfId="0" applyFont="1" applyFill="1"/>
    <xf numFmtId="0" fontId="49" fillId="0" borderId="0" xfId="0" applyFont="1"/>
    <xf numFmtId="8" fontId="9" fillId="0" borderId="1" xfId="0" applyNumberFormat="1" applyFont="1" applyBorder="1"/>
    <xf numFmtId="0" fontId="8" fillId="2" borderId="0" xfId="0" applyFont="1" applyFill="1"/>
    <xf numFmtId="0" fontId="9" fillId="3" borderId="0" xfId="0" applyFont="1" applyFill="1"/>
    <xf numFmtId="0" fontId="4" fillId="3" borderId="0" xfId="0" applyFont="1" applyFill="1"/>
    <xf numFmtId="0" fontId="5" fillId="3" borderId="0" xfId="0" applyFont="1" applyFill="1"/>
    <xf numFmtId="3" fontId="9" fillId="3" borderId="0" xfId="0" applyNumberFormat="1" applyFont="1" applyFill="1"/>
    <xf numFmtId="3" fontId="9" fillId="0" borderId="0" xfId="0" applyNumberFormat="1" applyFont="1"/>
    <xf numFmtId="0" fontId="7" fillId="0" borderId="0" xfId="0" applyFont="1"/>
    <xf numFmtId="4" fontId="9" fillId="0" borderId="0" xfId="0" applyNumberFormat="1" applyFont="1"/>
    <xf numFmtId="4" fontId="9" fillId="3" borderId="0" xfId="0" applyNumberFormat="1" applyFont="1" applyFill="1"/>
    <xf numFmtId="3" fontId="5" fillId="0" borderId="0" xfId="0" applyNumberFormat="1" applyFont="1"/>
    <xf numFmtId="4" fontId="9" fillId="0" borderId="0" xfId="0" applyNumberFormat="1" applyFont="1" applyAlignment="1">
      <alignment horizontal="right"/>
    </xf>
    <xf numFmtId="0" fontId="9" fillId="0" borderId="0" xfId="0" applyFont="1" applyAlignment="1">
      <alignment horizontal="left"/>
    </xf>
    <xf numFmtId="4" fontId="5" fillId="0" borderId="0" xfId="0" applyNumberFormat="1" applyFont="1" applyAlignment="1">
      <alignment horizontal="right"/>
    </xf>
    <xf numFmtId="3" fontId="9" fillId="0" borderId="0" xfId="0" applyNumberFormat="1" applyFont="1" applyAlignment="1">
      <alignment horizontal="right"/>
    </xf>
    <xf numFmtId="0" fontId="2" fillId="0" borderId="0" xfId="4"/>
    <xf numFmtId="0" fontId="7" fillId="0" borderId="0" xfId="4" applyFont="1" applyAlignment="1">
      <alignment horizontal="left"/>
    </xf>
    <xf numFmtId="4" fontId="2" fillId="0" borderId="0" xfId="4" applyNumberFormat="1" applyAlignment="1">
      <alignment horizontal="right"/>
    </xf>
    <xf numFmtId="0" fontId="2" fillId="0" borderId="0" xfId="4" applyAlignment="1">
      <alignment horizontal="left"/>
    </xf>
    <xf numFmtId="167" fontId="2" fillId="15" borderId="0" xfId="4" applyNumberFormat="1" applyFill="1" applyAlignment="1">
      <alignment horizontal="right"/>
    </xf>
    <xf numFmtId="0" fontId="2" fillId="15" borderId="0" xfId="4" applyFill="1" applyAlignment="1">
      <alignment horizontal="left"/>
    </xf>
    <xf numFmtId="167" fontId="4" fillId="0" borderId="0" xfId="4" applyNumberFormat="1" applyFont="1" applyAlignment="1">
      <alignment horizontal="right"/>
    </xf>
    <xf numFmtId="0" fontId="4" fillId="0" borderId="0" xfId="4" applyFont="1" applyAlignment="1">
      <alignment horizontal="left"/>
    </xf>
    <xf numFmtId="167" fontId="5" fillId="15" borderId="0" xfId="4" applyNumberFormat="1" applyFont="1" applyFill="1" applyAlignment="1">
      <alignment horizontal="right"/>
    </xf>
    <xf numFmtId="167" fontId="2" fillId="0" borderId="0" xfId="4" applyNumberFormat="1" applyAlignment="1">
      <alignment horizontal="right"/>
    </xf>
    <xf numFmtId="167" fontId="5" fillId="0" borderId="0" xfId="4" applyNumberFormat="1" applyFont="1" applyAlignment="1">
      <alignment horizontal="right"/>
    </xf>
    <xf numFmtId="0" fontId="4" fillId="15" borderId="0" xfId="4" applyFont="1" applyFill="1" applyAlignment="1">
      <alignment horizontal="left"/>
    </xf>
    <xf numFmtId="167" fontId="4" fillId="15" borderId="0" xfId="4" applyNumberFormat="1" applyFont="1" applyFill="1" applyAlignment="1">
      <alignment horizontal="right"/>
    </xf>
    <xf numFmtId="0" fontId="3" fillId="16" borderId="0" xfId="4" applyFont="1" applyFill="1" applyAlignment="1">
      <alignment horizontal="left"/>
    </xf>
    <xf numFmtId="0" fontId="3" fillId="17" borderId="0" xfId="4" applyFont="1" applyFill="1" applyAlignment="1">
      <alignment horizontal="left"/>
    </xf>
    <xf numFmtId="4" fontId="5" fillId="15" borderId="0" xfId="4" applyNumberFormat="1" applyFont="1" applyFill="1" applyAlignment="1">
      <alignment horizontal="right"/>
    </xf>
    <xf numFmtId="3" fontId="2" fillId="0" borderId="0" xfId="4" applyNumberFormat="1" applyAlignment="1">
      <alignment horizontal="right"/>
    </xf>
    <xf numFmtId="3" fontId="2" fillId="15" borderId="0" xfId="4" applyNumberFormat="1" applyFill="1" applyAlignment="1">
      <alignment horizontal="right"/>
    </xf>
    <xf numFmtId="3" fontId="5" fillId="0" borderId="0" xfId="4" applyNumberFormat="1" applyFont="1" applyAlignment="1">
      <alignment horizontal="right"/>
    </xf>
    <xf numFmtId="3" fontId="5" fillId="15" borderId="0" xfId="4" applyNumberFormat="1" applyFont="1" applyFill="1" applyAlignment="1">
      <alignment horizontal="right"/>
    </xf>
    <xf numFmtId="3" fontId="4" fillId="15" borderId="0" xfId="4" applyNumberFormat="1" applyFont="1" applyFill="1" applyAlignment="1">
      <alignment horizontal="right"/>
    </xf>
    <xf numFmtId="3" fontId="4" fillId="0" borderId="0" xfId="4" applyNumberFormat="1" applyFont="1" applyAlignment="1">
      <alignment horizontal="right"/>
    </xf>
    <xf numFmtId="4" fontId="4" fillId="15" borderId="0" xfId="4" applyNumberFormat="1" applyFont="1" applyFill="1" applyAlignment="1">
      <alignment horizontal="right"/>
    </xf>
    <xf numFmtId="4" fontId="2" fillId="15" borderId="0" xfId="4" applyNumberFormat="1" applyFill="1" applyAlignment="1">
      <alignment horizontal="right"/>
    </xf>
    <xf numFmtId="4" fontId="4" fillId="0" borderId="0" xfId="4" applyNumberFormat="1" applyFont="1" applyAlignment="1">
      <alignment horizontal="right"/>
    </xf>
    <xf numFmtId="0" fontId="2" fillId="17" borderId="0" xfId="4" applyFill="1"/>
    <xf numFmtId="0" fontId="2" fillId="0" borderId="2" xfId="4" applyBorder="1"/>
    <xf numFmtId="0" fontId="2" fillId="0" borderId="1" xfId="4" applyBorder="1"/>
    <xf numFmtId="0" fontId="3" fillId="0" borderId="0" xfId="4" applyFont="1"/>
    <xf numFmtId="164" fontId="4" fillId="15" borderId="0" xfId="1" applyNumberFormat="1" applyFont="1" applyFill="1" applyAlignment="1">
      <alignment horizontal="right"/>
    </xf>
    <xf numFmtId="168" fontId="39" fillId="0" borderId="0" xfId="2" applyNumberFormat="1" applyFont="1" applyBorder="1" applyAlignment="1">
      <alignment horizontal="right"/>
    </xf>
    <xf numFmtId="168" fontId="39" fillId="0" borderId="3" xfId="2" applyNumberFormat="1" applyFont="1" applyBorder="1" applyAlignment="1">
      <alignment horizontal="right"/>
    </xf>
    <xf numFmtId="0" fontId="54" fillId="0" borderId="22" xfId="0" applyFont="1" applyBorder="1" applyAlignment="1">
      <alignment horizontal="left"/>
    </xf>
    <xf numFmtId="164" fontId="52" fillId="0" borderId="10" xfId="0" applyNumberFormat="1" applyFont="1" applyBorder="1"/>
    <xf numFmtId="43" fontId="39" fillId="0" borderId="0" xfId="2" applyFont="1" applyBorder="1" applyAlignment="1">
      <alignment horizontal="right"/>
    </xf>
    <xf numFmtId="168" fontId="38" fillId="0" borderId="5" xfId="0" applyNumberFormat="1" applyFont="1" applyBorder="1" applyAlignment="1">
      <alignment horizontal="right"/>
    </xf>
    <xf numFmtId="168" fontId="38" fillId="0" borderId="20" xfId="0" applyNumberFormat="1" applyFont="1" applyBorder="1" applyAlignment="1">
      <alignment horizontal="right"/>
    </xf>
    <xf numFmtId="168" fontId="38" fillId="0" borderId="0" xfId="0" applyNumberFormat="1" applyFont="1" applyAlignment="1">
      <alignment horizontal="right"/>
    </xf>
    <xf numFmtId="0" fontId="33" fillId="0" borderId="7" xfId="0" applyFont="1" applyBorder="1"/>
    <xf numFmtId="0" fontId="51" fillId="0" borderId="7" xfId="0" applyFont="1" applyBorder="1" applyAlignment="1">
      <alignment horizontal="left"/>
    </xf>
    <xf numFmtId="0" fontId="55" fillId="18" borderId="5" xfId="0" applyFont="1" applyFill="1" applyBorder="1"/>
    <xf numFmtId="0" fontId="55" fillId="18" borderId="6" xfId="0" applyFont="1" applyFill="1" applyBorder="1"/>
    <xf numFmtId="0" fontId="49" fillId="0" borderId="0" xfId="0" applyFont="1" applyAlignment="1">
      <alignment horizontal="center"/>
    </xf>
    <xf numFmtId="168" fontId="39" fillId="0" borderId="0" xfId="0" applyNumberFormat="1" applyFont="1" applyAlignment="1">
      <alignment horizontal="right"/>
    </xf>
    <xf numFmtId="168" fontId="39" fillId="0" borderId="3" xfId="0" applyNumberFormat="1" applyFont="1" applyBorder="1" applyAlignment="1">
      <alignment horizontal="right"/>
    </xf>
    <xf numFmtId="0" fontId="57" fillId="0" borderId="0" xfId="0" applyFont="1" applyAlignment="1">
      <alignment horizontal="center"/>
    </xf>
    <xf numFmtId="10" fontId="57" fillId="0" borderId="0" xfId="0" applyNumberFormat="1" applyFont="1" applyAlignment="1">
      <alignment horizontal="center"/>
    </xf>
    <xf numFmtId="0" fontId="49" fillId="0" borderId="16" xfId="0" applyFont="1" applyBorder="1"/>
    <xf numFmtId="0" fontId="56" fillId="0" borderId="19" xfId="0" applyFont="1" applyBorder="1"/>
    <xf numFmtId="168" fontId="39" fillId="0" borderId="5" xfId="0" applyNumberFormat="1" applyFont="1" applyBorder="1" applyAlignment="1">
      <alignment horizontal="right"/>
    </xf>
    <xf numFmtId="168" fontId="39" fillId="0" borderId="6" xfId="0" applyNumberFormat="1" applyFont="1" applyBorder="1" applyAlignment="1">
      <alignment horizontal="right"/>
    </xf>
    <xf numFmtId="0" fontId="58" fillId="0" borderId="0" xfId="0" applyFont="1"/>
    <xf numFmtId="0" fontId="57" fillId="0" borderId="21" xfId="0" applyFont="1" applyBorder="1"/>
    <xf numFmtId="0" fontId="57" fillId="0" borderId="21" xfId="0" applyFont="1" applyBorder="1" applyAlignment="1">
      <alignment horizontal="right"/>
    </xf>
    <xf numFmtId="164" fontId="53" fillId="0" borderId="3" xfId="0" applyNumberFormat="1" applyFont="1" applyBorder="1" applyAlignment="1">
      <alignment horizontal="right"/>
    </xf>
    <xf numFmtId="0" fontId="58" fillId="0" borderId="16" xfId="0" applyFont="1" applyBorder="1"/>
    <xf numFmtId="0" fontId="56" fillId="0" borderId="21" xfId="0" applyFont="1" applyBorder="1"/>
    <xf numFmtId="0" fontId="57" fillId="0" borderId="22" xfId="0" applyFont="1" applyBorder="1" applyAlignment="1">
      <alignment horizontal="right"/>
    </xf>
    <xf numFmtId="9" fontId="52" fillId="0" borderId="10" xfId="0" applyNumberFormat="1" applyFont="1" applyBorder="1" applyAlignment="1">
      <alignment horizontal="right"/>
    </xf>
    <xf numFmtId="164" fontId="52" fillId="0" borderId="10" xfId="0" applyNumberFormat="1" applyFont="1" applyBorder="1" applyAlignment="1">
      <alignment horizontal="right"/>
    </xf>
    <xf numFmtId="164" fontId="59" fillId="0" borderId="10" xfId="0" applyNumberFormat="1" applyFont="1" applyBorder="1" applyAlignment="1">
      <alignment horizontal="right"/>
    </xf>
    <xf numFmtId="0" fontId="60" fillId="0" borderId="0" xfId="0" applyFont="1"/>
    <xf numFmtId="168" fontId="61" fillId="0" borderId="0" xfId="0" applyNumberFormat="1" applyFont="1"/>
    <xf numFmtId="0" fontId="56" fillId="0" borderId="19" xfId="0" applyFont="1" applyBorder="1" applyAlignment="1">
      <alignment horizontal="left"/>
    </xf>
    <xf numFmtId="0" fontId="56" fillId="0" borderId="21" xfId="0" applyFont="1" applyBorder="1" applyAlignment="1">
      <alignment horizontal="left"/>
    </xf>
    <xf numFmtId="168" fontId="57" fillId="0" borderId="3" xfId="0" applyNumberFormat="1" applyFont="1" applyBorder="1" applyAlignment="1">
      <alignment horizontal="right"/>
    </xf>
    <xf numFmtId="43" fontId="49" fillId="0" borderId="3" xfId="0" applyNumberFormat="1" applyFont="1" applyBorder="1" applyAlignment="1">
      <alignment horizontal="right"/>
    </xf>
    <xf numFmtId="0" fontId="56" fillId="20" borderId="22" xfId="0" applyFont="1" applyFill="1" applyBorder="1"/>
    <xf numFmtId="168" fontId="57" fillId="20" borderId="10" xfId="0" applyNumberFormat="1" applyFont="1" applyFill="1" applyBorder="1"/>
    <xf numFmtId="0" fontId="49" fillId="21" borderId="0" xfId="0" applyFont="1" applyFill="1"/>
    <xf numFmtId="0" fontId="56" fillId="21" borderId="0" xfId="0" applyFont="1" applyFill="1"/>
    <xf numFmtId="168" fontId="56" fillId="21" borderId="0" xfId="0" applyNumberFormat="1" applyFont="1" applyFill="1"/>
    <xf numFmtId="168" fontId="57" fillId="21" borderId="0" xfId="0" applyNumberFormat="1" applyFont="1" applyFill="1"/>
    <xf numFmtId="168" fontId="57" fillId="21" borderId="16" xfId="0" applyNumberFormat="1" applyFont="1" applyFill="1" applyBorder="1"/>
    <xf numFmtId="0" fontId="56" fillId="0" borderId="19" xfId="0" applyFont="1" applyBorder="1" applyAlignment="1">
      <alignment vertical="center"/>
    </xf>
    <xf numFmtId="168" fontId="56" fillId="0" borderId="5" xfId="0" applyNumberFormat="1" applyFont="1" applyBorder="1" applyAlignment="1">
      <alignment horizontal="right"/>
    </xf>
    <xf numFmtId="168" fontId="56" fillId="0" borderId="6" xfId="0" applyNumberFormat="1" applyFont="1" applyBorder="1" applyAlignment="1">
      <alignment horizontal="right"/>
    </xf>
    <xf numFmtId="0" fontId="57" fillId="0" borderId="21" xfId="0" applyFont="1" applyBorder="1" applyAlignment="1">
      <alignment horizontal="right" vertical="center"/>
    </xf>
    <xf numFmtId="9" fontId="53" fillId="0" borderId="10" xfId="0" applyNumberFormat="1" applyFont="1" applyBorder="1" applyAlignment="1">
      <alignment horizontal="right"/>
    </xf>
    <xf numFmtId="9" fontId="53" fillId="0" borderId="11" xfId="0" applyNumberFormat="1" applyFont="1" applyBorder="1" applyAlignment="1">
      <alignment horizontal="right"/>
    </xf>
    <xf numFmtId="9" fontId="49" fillId="0" borderId="0" xfId="0" applyNumberFormat="1" applyFont="1"/>
    <xf numFmtId="166" fontId="49" fillId="0" borderId="0" xfId="0" applyNumberFormat="1" applyFont="1"/>
    <xf numFmtId="0" fontId="4" fillId="5" borderId="0" xfId="4" applyFont="1" applyFill="1" applyAlignment="1">
      <alignment horizontal="left"/>
    </xf>
    <xf numFmtId="0" fontId="2" fillId="5" borderId="0" xfId="4" applyFill="1" applyAlignment="1">
      <alignment horizontal="left"/>
    </xf>
    <xf numFmtId="164" fontId="52" fillId="0" borderId="9" xfId="0" applyNumberFormat="1" applyFont="1" applyBorder="1" applyAlignment="1">
      <alignment horizontal="right"/>
    </xf>
    <xf numFmtId="0" fontId="56" fillId="0" borderId="12" xfId="0" applyFont="1" applyBorder="1"/>
    <xf numFmtId="168" fontId="56" fillId="0" borderId="12" xfId="0" applyNumberFormat="1" applyFont="1" applyBorder="1" applyAlignment="1">
      <alignment horizontal="right" vertical="center"/>
    </xf>
    <xf numFmtId="168" fontId="56" fillId="0" borderId="25" xfId="0" applyNumberFormat="1" applyFont="1" applyBorder="1" applyAlignment="1">
      <alignment horizontal="right" vertical="center"/>
    </xf>
    <xf numFmtId="9" fontId="52" fillId="0" borderId="23" xfId="0" applyNumberFormat="1" applyFont="1" applyBorder="1" applyAlignment="1">
      <alignment horizontal="right"/>
    </xf>
    <xf numFmtId="0" fontId="55" fillId="18" borderId="5" xfId="2" applyNumberFormat="1" applyFont="1" applyFill="1" applyBorder="1"/>
    <xf numFmtId="164" fontId="0" fillId="3" borderId="0" xfId="5" applyNumberFormat="1" applyFont="1" applyFill="1" applyAlignment="1">
      <alignment horizontal="right"/>
    </xf>
    <xf numFmtId="167" fontId="5" fillId="3" borderId="0" xfId="4" applyNumberFormat="1" applyFont="1" applyFill="1" applyAlignment="1">
      <alignment horizontal="right"/>
    </xf>
    <xf numFmtId="0" fontId="2" fillId="3" borderId="0" xfId="4" applyFill="1" applyAlignment="1">
      <alignment horizontal="left"/>
    </xf>
    <xf numFmtId="164" fontId="0" fillId="0" borderId="0" xfId="5" applyNumberFormat="1" applyFont="1" applyAlignment="1">
      <alignment horizontal="right"/>
    </xf>
    <xf numFmtId="0" fontId="3" fillId="2" borderId="0" xfId="4" applyFont="1" applyFill="1" applyAlignment="1">
      <alignment horizontal="left"/>
    </xf>
    <xf numFmtId="164" fontId="0" fillId="0" borderId="0" xfId="5" applyNumberFormat="1" applyFont="1"/>
    <xf numFmtId="0" fontId="4" fillId="3" borderId="0" xfId="4" applyFont="1" applyFill="1" applyAlignment="1">
      <alignment horizontal="left"/>
    </xf>
    <xf numFmtId="3" fontId="2" fillId="3" borderId="0" xfId="4" applyNumberFormat="1" applyFill="1" applyAlignment="1">
      <alignment horizontal="right"/>
    </xf>
    <xf numFmtId="0" fontId="50" fillId="0" borderId="0" xfId="0" applyFont="1"/>
    <xf numFmtId="2" fontId="49" fillId="0" borderId="0" xfId="0" applyNumberFormat="1" applyFont="1"/>
    <xf numFmtId="3" fontId="4" fillId="3" borderId="0" xfId="0" applyNumberFormat="1" applyFont="1" applyFill="1"/>
    <xf numFmtId="3" fontId="4" fillId="0" borderId="0" xfId="0" applyNumberFormat="1" applyFont="1"/>
    <xf numFmtId="3" fontId="5" fillId="3" borderId="0" xfId="0" applyNumberFormat="1" applyFont="1" applyFill="1"/>
    <xf numFmtId="9" fontId="2" fillId="0" borderId="0" xfId="4" applyNumberFormat="1"/>
    <xf numFmtId="3" fontId="2" fillId="0" borderId="0" xfId="4" applyNumberFormat="1"/>
    <xf numFmtId="0" fontId="62" fillId="0" borderId="0" xfId="0" applyFont="1" applyAlignment="1">
      <alignment wrapText="1"/>
    </xf>
    <xf numFmtId="0" fontId="63" fillId="22" borderId="0" xfId="0" applyFont="1" applyFill="1"/>
    <xf numFmtId="0" fontId="0" fillId="22" borderId="0" xfId="0" applyFill="1"/>
    <xf numFmtId="0" fontId="0" fillId="23" borderId="0" xfId="0" applyFill="1"/>
    <xf numFmtId="0" fontId="0" fillId="23" borderId="26" xfId="0" applyFill="1" applyBorder="1"/>
    <xf numFmtId="1" fontId="2" fillId="0" borderId="0" xfId="4" applyNumberFormat="1"/>
    <xf numFmtId="0" fontId="9" fillId="10" borderId="0" xfId="0" applyFont="1" applyFill="1"/>
    <xf numFmtId="0" fontId="39" fillId="19" borderId="7" xfId="0" applyFont="1" applyFill="1" applyBorder="1" applyAlignment="1">
      <alignment horizontal="left"/>
    </xf>
    <xf numFmtId="164" fontId="38" fillId="0" borderId="0" xfId="1" applyNumberFormat="1" applyFont="1" applyBorder="1" applyAlignment="1">
      <alignment horizontal="right"/>
    </xf>
    <xf numFmtId="164" fontId="39" fillId="0" borderId="0" xfId="1" applyNumberFormat="1" applyFont="1" applyBorder="1" applyAlignment="1">
      <alignment horizontal="right"/>
    </xf>
    <xf numFmtId="0" fontId="55" fillId="18" borderId="4" xfId="0" applyFont="1" applyFill="1" applyBorder="1" applyAlignment="1">
      <alignment horizontal="left"/>
    </xf>
    <xf numFmtId="0" fontId="56" fillId="0" borderId="7" xfId="0" applyFont="1" applyBorder="1"/>
    <xf numFmtId="164" fontId="39" fillId="0" borderId="3" xfId="1" applyNumberFormat="1" applyFont="1" applyBorder="1" applyAlignment="1">
      <alignment horizontal="right"/>
    </xf>
    <xf numFmtId="0" fontId="37" fillId="11" borderId="7" xfId="0" applyFont="1" applyFill="1" applyBorder="1"/>
    <xf numFmtId="14" fontId="37" fillId="11" borderId="0" xfId="0" applyNumberFormat="1" applyFont="1" applyFill="1"/>
    <xf numFmtId="14" fontId="37" fillId="11" borderId="3" xfId="0" applyNumberFormat="1" applyFont="1" applyFill="1" applyBorder="1"/>
    <xf numFmtId="0" fontId="36" fillId="0" borderId="7" xfId="0" applyFont="1" applyBorder="1"/>
    <xf numFmtId="168" fontId="38" fillId="0" borderId="0" xfId="2" applyNumberFormat="1" applyFont="1" applyFill="1" applyBorder="1"/>
    <xf numFmtId="168" fontId="33" fillId="0" borderId="0" xfId="0" applyNumberFormat="1" applyFont="1"/>
    <xf numFmtId="0" fontId="42" fillId="0" borderId="7" xfId="0" applyFont="1" applyBorder="1"/>
    <xf numFmtId="168" fontId="33" fillId="0" borderId="0" xfId="2" applyNumberFormat="1" applyFont="1" applyBorder="1" applyAlignment="1">
      <alignment horizontal="right"/>
    </xf>
    <xf numFmtId="43" fontId="33" fillId="8" borderId="0" xfId="2" applyFont="1" applyFill="1" applyBorder="1" applyAlignment="1">
      <alignment horizontal="right"/>
    </xf>
    <xf numFmtId="168" fontId="42" fillId="8" borderId="10" xfId="0" applyNumberFormat="1" applyFont="1" applyFill="1" applyBorder="1" applyAlignment="1">
      <alignment horizontal="right"/>
    </xf>
    <xf numFmtId="168" fontId="42" fillId="8" borderId="23" xfId="0" applyNumberFormat="1" applyFont="1" applyFill="1" applyBorder="1" applyAlignment="1">
      <alignment horizontal="right"/>
    </xf>
    <xf numFmtId="168" fontId="42" fillId="0" borderId="10" xfId="0" applyNumberFormat="1" applyFont="1" applyBorder="1" applyAlignment="1">
      <alignment horizontal="right"/>
    </xf>
    <xf numFmtId="9" fontId="39" fillId="0" borderId="0" xfId="1" applyFont="1" applyBorder="1" applyAlignment="1">
      <alignment horizontal="right"/>
    </xf>
    <xf numFmtId="0" fontId="39" fillId="0" borderId="0" xfId="1" applyNumberFormat="1" applyFont="1" applyBorder="1" applyAlignment="1">
      <alignment horizontal="right"/>
    </xf>
    <xf numFmtId="164" fontId="52" fillId="0" borderId="0" xfId="0" applyNumberFormat="1" applyFont="1"/>
    <xf numFmtId="164" fontId="52" fillId="0" borderId="27" xfId="0" applyNumberFormat="1" applyFont="1" applyBorder="1"/>
    <xf numFmtId="168" fontId="33" fillId="0" borderId="0" xfId="0" applyNumberFormat="1" applyFont="1" applyAlignment="1">
      <alignment horizontal="right"/>
    </xf>
    <xf numFmtId="168" fontId="33" fillId="0" borderId="27" xfId="0" applyNumberFormat="1" applyFont="1" applyBorder="1" applyAlignment="1">
      <alignment horizontal="right"/>
    </xf>
    <xf numFmtId="168" fontId="38" fillId="0" borderId="27" xfId="0" applyNumberFormat="1" applyFont="1" applyBorder="1" applyAlignment="1">
      <alignment horizontal="right"/>
    </xf>
    <xf numFmtId="164" fontId="52" fillId="0" borderId="28" xfId="0" applyNumberFormat="1" applyFont="1" applyBorder="1"/>
    <xf numFmtId="168" fontId="38" fillId="0" borderId="29" xfId="0" applyNumberFormat="1" applyFont="1" applyBorder="1" applyAlignment="1">
      <alignment horizontal="right"/>
    </xf>
    <xf numFmtId="168" fontId="39" fillId="0" borderId="29" xfId="0" applyNumberFormat="1" applyFont="1" applyBorder="1" applyAlignment="1">
      <alignment horizontal="right"/>
    </xf>
    <xf numFmtId="168" fontId="39" fillId="0" borderId="27" xfId="0" applyNumberFormat="1" applyFont="1" applyBorder="1" applyAlignment="1">
      <alignment horizontal="right"/>
    </xf>
    <xf numFmtId="0" fontId="37" fillId="11" borderId="0" xfId="0" applyFont="1" applyFill="1" applyAlignment="1">
      <alignment horizontal="center"/>
    </xf>
    <xf numFmtId="164" fontId="66" fillId="0" borderId="28" xfId="0" applyNumberFormat="1" applyFont="1" applyBorder="1"/>
    <xf numFmtId="164" fontId="66" fillId="0" borderId="10" xfId="0" applyNumberFormat="1" applyFont="1" applyBorder="1"/>
    <xf numFmtId="164" fontId="66" fillId="0" borderId="11" xfId="0" applyNumberFormat="1" applyFont="1" applyBorder="1"/>
    <xf numFmtId="164" fontId="66" fillId="0" borderId="27" xfId="0" applyNumberFormat="1" applyFont="1" applyBorder="1"/>
    <xf numFmtId="164" fontId="66" fillId="0" borderId="0" xfId="0" applyNumberFormat="1" applyFont="1"/>
    <xf numFmtId="164" fontId="66" fillId="0" borderId="3" xfId="0" applyNumberFormat="1" applyFont="1" applyBorder="1"/>
    <xf numFmtId="0" fontId="46" fillId="0" borderId="0" xfId="0" applyFont="1"/>
    <xf numFmtId="0" fontId="27" fillId="0" borderId="0" xfId="0" applyFont="1"/>
    <xf numFmtId="14" fontId="27" fillId="0" borderId="0" xfId="0" applyNumberFormat="1" applyFont="1"/>
    <xf numFmtId="4" fontId="27" fillId="0" borderId="0" xfId="0" applyNumberFormat="1" applyFont="1"/>
    <xf numFmtId="17" fontId="27" fillId="0" borderId="0" xfId="0" applyNumberFormat="1" applyFont="1"/>
    <xf numFmtId="0" fontId="28" fillId="0" borderId="0" xfId="0" applyFont="1"/>
    <xf numFmtId="0" fontId="27" fillId="0" borderId="0" xfId="0" quotePrefix="1" applyFont="1"/>
    <xf numFmtId="0" fontId="46" fillId="11" borderId="30" xfId="0" applyFont="1" applyFill="1" applyBorder="1"/>
    <xf numFmtId="0" fontId="23" fillId="0" borderId="30" xfId="0" applyFont="1" applyBorder="1"/>
    <xf numFmtId="0" fontId="24" fillId="0" borderId="30" xfId="0" applyFont="1" applyBorder="1"/>
    <xf numFmtId="0" fontId="25" fillId="0" borderId="30" xfId="0" applyFont="1" applyBorder="1"/>
    <xf numFmtId="169" fontId="22" fillId="0" borderId="30" xfId="0" applyNumberFormat="1" applyFont="1" applyBorder="1"/>
    <xf numFmtId="0" fontId="22" fillId="0" borderId="30" xfId="0" applyFont="1" applyBorder="1"/>
    <xf numFmtId="2" fontId="22" fillId="0" borderId="30" xfId="0" applyNumberFormat="1" applyFont="1" applyBorder="1"/>
    <xf numFmtId="0" fontId="26" fillId="0" borderId="30" xfId="0" applyFont="1" applyBorder="1"/>
    <xf numFmtId="169" fontId="49" fillId="0" borderId="30" xfId="0" applyNumberFormat="1" applyFont="1" applyBorder="1"/>
    <xf numFmtId="0" fontId="0" fillId="0" borderId="30" xfId="0" applyBorder="1"/>
    <xf numFmtId="168" fontId="56" fillId="0" borderId="4" xfId="0" applyNumberFormat="1" applyFont="1" applyBorder="1" applyAlignment="1">
      <alignment horizontal="right"/>
    </xf>
    <xf numFmtId="164" fontId="52" fillId="0" borderId="3" xfId="0" applyNumberFormat="1" applyFont="1" applyBorder="1" applyAlignment="1">
      <alignment horizontal="right"/>
    </xf>
    <xf numFmtId="164" fontId="53" fillId="0" borderId="9" xfId="0" applyNumberFormat="1" applyFont="1" applyBorder="1" applyAlignment="1">
      <alignment horizontal="right"/>
    </xf>
    <xf numFmtId="164" fontId="53" fillId="0" borderId="7" xfId="0" applyNumberFormat="1" applyFont="1" applyBorder="1" applyAlignment="1">
      <alignment horizontal="right"/>
    </xf>
    <xf numFmtId="164" fontId="52" fillId="0" borderId="7" xfId="0" applyNumberFormat="1" applyFont="1" applyBorder="1" applyAlignment="1">
      <alignment horizontal="right"/>
    </xf>
    <xf numFmtId="43" fontId="39" fillId="0" borderId="3" xfId="0" applyNumberFormat="1" applyFont="1" applyBorder="1" applyAlignment="1">
      <alignment horizontal="right"/>
    </xf>
    <xf numFmtId="10" fontId="53" fillId="0" borderId="3" xfId="0" applyNumberFormat="1" applyFont="1" applyBorder="1" applyAlignment="1">
      <alignment horizontal="right"/>
    </xf>
    <xf numFmtId="164" fontId="53" fillId="0" borderId="27" xfId="0" applyNumberFormat="1" applyFont="1" applyBorder="1" applyAlignment="1">
      <alignment horizontal="right"/>
    </xf>
    <xf numFmtId="43" fontId="39" fillId="0" borderId="27" xfId="0" applyNumberFormat="1" applyFont="1" applyBorder="1" applyAlignment="1">
      <alignment horizontal="right"/>
    </xf>
    <xf numFmtId="43" fontId="49" fillId="0" borderId="27" xfId="0" applyNumberFormat="1" applyFont="1" applyBorder="1" applyAlignment="1">
      <alignment horizontal="right"/>
    </xf>
    <xf numFmtId="10" fontId="53" fillId="0" borderId="27" xfId="0" applyNumberFormat="1" applyFont="1" applyBorder="1" applyAlignment="1">
      <alignment horizontal="right"/>
    </xf>
    <xf numFmtId="168" fontId="57" fillId="0" borderId="27" xfId="0" applyNumberFormat="1" applyFont="1" applyBorder="1" applyAlignment="1">
      <alignment horizontal="right"/>
    </xf>
    <xf numFmtId="9" fontId="53" fillId="0" borderId="27" xfId="0" applyNumberFormat="1" applyFont="1" applyBorder="1" applyAlignment="1">
      <alignment horizontal="right"/>
    </xf>
    <xf numFmtId="0" fontId="4" fillId="12" borderId="0" xfId="4" applyFont="1" applyFill="1" applyAlignment="1">
      <alignment horizontal="left"/>
    </xf>
    <xf numFmtId="10" fontId="9" fillId="0" borderId="0" xfId="0" applyNumberFormat="1" applyFont="1" applyAlignment="1">
      <alignment horizontal="right"/>
    </xf>
    <xf numFmtId="0" fontId="68" fillId="0" borderId="0" xfId="0" applyFont="1"/>
    <xf numFmtId="9" fontId="68" fillId="0" borderId="0" xfId="0" applyNumberFormat="1" applyFont="1"/>
    <xf numFmtId="0" fontId="70" fillId="0" borderId="0" xfId="0" applyFont="1"/>
    <xf numFmtId="0" fontId="71" fillId="0" borderId="0" xfId="0" applyFont="1"/>
    <xf numFmtId="0" fontId="72" fillId="0" borderId="0" xfId="0" applyFont="1"/>
    <xf numFmtId="0" fontId="74" fillId="0" borderId="0" xfId="0" applyFont="1"/>
    <xf numFmtId="0" fontId="75" fillId="0" borderId="0" xfId="0" applyFont="1"/>
    <xf numFmtId="0" fontId="73" fillId="0" borderId="0" xfId="0" applyFont="1"/>
    <xf numFmtId="0" fontId="76" fillId="0" borderId="0" xfId="0" applyFont="1"/>
    <xf numFmtId="0" fontId="77" fillId="0" borderId="0" xfId="0" applyFont="1"/>
    <xf numFmtId="0" fontId="78" fillId="0" borderId="0" xfId="0" applyFont="1"/>
    <xf numFmtId="0" fontId="79" fillId="0" borderId="0" xfId="0" applyFont="1"/>
    <xf numFmtId="0" fontId="80" fillId="0" borderId="0" xfId="0" applyFont="1"/>
    <xf numFmtId="3" fontId="0" fillId="0" borderId="0" xfId="0" applyNumberFormat="1"/>
    <xf numFmtId="0" fontId="81" fillId="0" borderId="0" xfId="4" applyFont="1" applyAlignment="1">
      <alignment horizontal="centerContinuous"/>
    </xf>
    <xf numFmtId="0" fontId="71" fillId="0" borderId="0" xfId="4" applyFont="1"/>
    <xf numFmtId="170" fontId="72" fillId="0" borderId="0" xfId="4" applyNumberFormat="1" applyFont="1"/>
    <xf numFmtId="171" fontId="72" fillId="0" borderId="0" xfId="4" applyNumberFormat="1" applyFont="1"/>
    <xf numFmtId="0" fontId="68" fillId="0" borderId="0" xfId="7"/>
    <xf numFmtId="0" fontId="85" fillId="0" borderId="0" xfId="4" applyFont="1"/>
    <xf numFmtId="0" fontId="82" fillId="0" borderId="0" xfId="4" applyFont="1"/>
    <xf numFmtId="164" fontId="68" fillId="0" borderId="0" xfId="7" applyNumberFormat="1"/>
    <xf numFmtId="173" fontId="68" fillId="0" borderId="0" xfId="7" applyNumberFormat="1"/>
    <xf numFmtId="0" fontId="86" fillId="0" borderId="0" xfId="0" applyFont="1"/>
    <xf numFmtId="0" fontId="4" fillId="4" borderId="0" xfId="0" applyFont="1" applyFill="1" applyAlignment="1">
      <alignment horizontal="left" indent="3"/>
    </xf>
    <xf numFmtId="3" fontId="4" fillId="4" borderId="0" xfId="0" applyNumberFormat="1" applyFont="1" applyFill="1" applyAlignment="1">
      <alignment horizontal="right"/>
    </xf>
    <xf numFmtId="0" fontId="2" fillId="0" borderId="7" xfId="4" applyBorder="1"/>
    <xf numFmtId="0" fontId="2" fillId="0" borderId="3" xfId="4" applyBorder="1"/>
    <xf numFmtId="0" fontId="81" fillId="0" borderId="3" xfId="4" applyFont="1" applyBorder="1" applyAlignment="1">
      <alignment horizontal="centerContinuous"/>
    </xf>
    <xf numFmtId="171" fontId="72" fillId="0" borderId="3" xfId="4" applyNumberFormat="1" applyFont="1" applyBorder="1"/>
    <xf numFmtId="0" fontId="85" fillId="0" borderId="7" xfId="4" applyFont="1" applyBorder="1"/>
    <xf numFmtId="0" fontId="68" fillId="0" borderId="3" xfId="7" applyBorder="1"/>
    <xf numFmtId="0" fontId="68" fillId="0" borderId="9" xfId="7" applyBorder="1"/>
    <xf numFmtId="0" fontId="68" fillId="0" borderId="10" xfId="7" applyBorder="1"/>
    <xf numFmtId="0" fontId="2" fillId="0" borderId="10" xfId="4" applyBorder="1"/>
    <xf numFmtId="0" fontId="2" fillId="0" borderId="11" xfId="4" applyBorder="1"/>
    <xf numFmtId="0" fontId="87" fillId="0" borderId="0" xfId="0" applyFont="1"/>
    <xf numFmtId="0" fontId="88" fillId="0" borderId="0" xfId="0" applyFont="1"/>
    <xf numFmtId="14" fontId="9" fillId="0" borderId="0" xfId="0" applyNumberFormat="1" applyFont="1"/>
    <xf numFmtId="2" fontId="49" fillId="12" borderId="0" xfId="0" applyNumberFormat="1" applyFont="1" applyFill="1"/>
    <xf numFmtId="14" fontId="0" fillId="0" borderId="0" xfId="0" applyNumberFormat="1"/>
    <xf numFmtId="0" fontId="42" fillId="0" borderId="0" xfId="0" applyFont="1"/>
    <xf numFmtId="168" fontId="42" fillId="0" borderId="0" xfId="0" applyNumberFormat="1" applyFont="1" applyAlignment="1">
      <alignment horizontal="right"/>
    </xf>
    <xf numFmtId="14" fontId="36" fillId="12" borderId="16" xfId="0" applyNumberFormat="1" applyFont="1" applyFill="1" applyBorder="1"/>
    <xf numFmtId="168" fontId="42" fillId="0" borderId="16" xfId="0" applyNumberFormat="1" applyFont="1" applyBorder="1" applyAlignment="1">
      <alignment horizontal="right"/>
    </xf>
    <xf numFmtId="168" fontId="42" fillId="24" borderId="0" xfId="0" applyNumberFormat="1" applyFont="1" applyFill="1" applyAlignment="1">
      <alignment horizontal="right"/>
    </xf>
    <xf numFmtId="0" fontId="33" fillId="0" borderId="0" xfId="0" applyFont="1" applyAlignment="1">
      <alignment horizontal="right"/>
    </xf>
    <xf numFmtId="0" fontId="33" fillId="0" borderId="0" xfId="0" applyFont="1" applyAlignment="1">
      <alignment horizontal="center"/>
    </xf>
    <xf numFmtId="0" fontId="42" fillId="0" borderId="0" xfId="0" applyFont="1" applyAlignment="1">
      <alignment horizontal="right"/>
    </xf>
    <xf numFmtId="168" fontId="42" fillId="0" borderId="0" xfId="2" applyNumberFormat="1" applyFont="1" applyFill="1" applyAlignment="1">
      <alignment horizontal="right"/>
    </xf>
    <xf numFmtId="10" fontId="42" fillId="12" borderId="13" xfId="1" applyNumberFormat="1" applyFont="1" applyFill="1" applyBorder="1"/>
    <xf numFmtId="9" fontId="33" fillId="0" borderId="0" xfId="1" applyFont="1"/>
    <xf numFmtId="43" fontId="0" fillId="0" borderId="0" xfId="2" applyFont="1"/>
    <xf numFmtId="43" fontId="33" fillId="0" borderId="0" xfId="2" applyFont="1"/>
    <xf numFmtId="0" fontId="36" fillId="0" borderId="0" xfId="0" applyFont="1" applyAlignment="1">
      <alignment horizontal="center"/>
    </xf>
    <xf numFmtId="0" fontId="90" fillId="11" borderId="0" xfId="0" applyFont="1" applyFill="1"/>
    <xf numFmtId="168" fontId="37" fillId="11" borderId="0" xfId="2" applyNumberFormat="1" applyFont="1" applyFill="1" applyAlignment="1">
      <alignment horizontal="center"/>
    </xf>
    <xf numFmtId="0" fontId="90" fillId="11" borderId="0" xfId="0" applyFont="1" applyFill="1" applyAlignment="1">
      <alignment horizontal="center"/>
    </xf>
    <xf numFmtId="168" fontId="37" fillId="11" borderId="0" xfId="2" applyNumberFormat="1" applyFont="1" applyFill="1" applyAlignment="1">
      <alignment horizontal="center" wrapText="1"/>
    </xf>
    <xf numFmtId="168" fontId="42" fillId="0" borderId="0" xfId="2" applyNumberFormat="1" applyFont="1"/>
    <xf numFmtId="168" fontId="42" fillId="0" borderId="0" xfId="0" applyNumberFormat="1" applyFont="1" applyAlignment="1">
      <alignment horizontal="center"/>
    </xf>
    <xf numFmtId="10" fontId="38" fillId="0" borderId="0" xfId="1" applyNumberFormat="1" applyFont="1"/>
    <xf numFmtId="168" fontId="42" fillId="0" borderId="0" xfId="2" applyNumberFormat="1" applyFont="1" applyAlignment="1">
      <alignment horizontal="center"/>
    </xf>
    <xf numFmtId="174" fontId="33" fillId="0" borderId="0" xfId="0" applyNumberFormat="1" applyFont="1"/>
    <xf numFmtId="168" fontId="42" fillId="12" borderId="0" xfId="0" applyNumberFormat="1" applyFont="1" applyFill="1" applyAlignment="1">
      <alignment horizontal="center"/>
    </xf>
    <xf numFmtId="168" fontId="33" fillId="0" borderId="0" xfId="2" applyNumberFormat="1" applyFont="1"/>
    <xf numFmtId="168" fontId="33" fillId="0" borderId="0" xfId="2" applyNumberFormat="1" applyFont="1" applyAlignment="1">
      <alignment horizontal="center"/>
    </xf>
    <xf numFmtId="0" fontId="44" fillId="0" borderId="0" xfId="0" applyFont="1"/>
    <xf numFmtId="168" fontId="44" fillId="0" borderId="0" xfId="0" applyNumberFormat="1" applyFont="1"/>
    <xf numFmtId="0" fontId="44" fillId="0" borderId="0" xfId="0" applyFont="1" applyAlignment="1">
      <alignment horizontal="center"/>
    </xf>
    <xf numFmtId="0" fontId="42" fillId="14" borderId="0" xfId="0" applyFont="1" applyFill="1"/>
    <xf numFmtId="0" fontId="33" fillId="14" borderId="0" xfId="0" applyFont="1" applyFill="1"/>
    <xf numFmtId="44" fontId="42" fillId="14" borderId="0" xfId="6" applyFont="1" applyFill="1"/>
    <xf numFmtId="2" fontId="33" fillId="0" borderId="0" xfId="0" applyNumberFormat="1" applyFont="1"/>
    <xf numFmtId="43" fontId="33" fillId="0" borderId="0" xfId="0" applyNumberFormat="1" applyFont="1"/>
    <xf numFmtId="0" fontId="91" fillId="0" borderId="0" xfId="0" applyFont="1" applyAlignment="1">
      <alignment horizontal="center"/>
    </xf>
    <xf numFmtId="43" fontId="39" fillId="0" borderId="0" xfId="2" applyFont="1" applyFill="1" applyBorder="1" applyAlignment="1">
      <alignment horizontal="center"/>
    </xf>
    <xf numFmtId="43" fontId="39" fillId="0" borderId="0" xfId="2" applyFont="1" applyFill="1" applyBorder="1" applyAlignment="1">
      <alignment horizontal="center" wrapText="1"/>
    </xf>
    <xf numFmtId="0" fontId="39" fillId="0" borderId="0" xfId="0" applyFont="1" applyAlignment="1">
      <alignment wrapText="1"/>
    </xf>
    <xf numFmtId="43" fontId="39" fillId="0" borderId="0" xfId="2" applyFont="1" applyFill="1" applyBorder="1" applyAlignment="1">
      <alignment horizontal="center" vertical="center"/>
    </xf>
    <xf numFmtId="9" fontId="39" fillId="0" borderId="0" xfId="0" applyNumberFormat="1" applyFont="1" applyAlignment="1">
      <alignment horizontal="center" vertical="center"/>
    </xf>
    <xf numFmtId="10" fontId="39" fillId="0" borderId="0" xfId="0" applyNumberFormat="1" applyFont="1" applyAlignment="1">
      <alignment horizontal="center" vertical="center"/>
    </xf>
    <xf numFmtId="43" fontId="33" fillId="0" borderId="0" xfId="2" applyFont="1" applyFill="1" applyBorder="1"/>
    <xf numFmtId="9" fontId="33" fillId="0" borderId="0" xfId="0" applyNumberFormat="1" applyFont="1"/>
    <xf numFmtId="164" fontId="90" fillId="0" borderId="0" xfId="0" applyNumberFormat="1" applyFont="1" applyAlignment="1">
      <alignment horizontal="center" vertical="center"/>
    </xf>
    <xf numFmtId="0" fontId="36" fillId="0" borderId="0" xfId="0" applyFont="1" applyAlignment="1">
      <alignment horizontal="left"/>
    </xf>
    <xf numFmtId="0" fontId="42" fillId="0" borderId="17" xfId="0" applyFont="1" applyBorder="1"/>
    <xf numFmtId="164" fontId="89" fillId="0" borderId="13" xfId="1" applyNumberFormat="1" applyFont="1" applyBorder="1"/>
    <xf numFmtId="43" fontId="38" fillId="0" borderId="0" xfId="2" applyFont="1"/>
    <xf numFmtId="0" fontId="8" fillId="7" borderId="0" xfId="0" applyFont="1" applyFill="1" applyAlignment="1">
      <alignment horizontal="left"/>
    </xf>
    <xf numFmtId="4" fontId="9" fillId="7" borderId="0" xfId="0" applyNumberFormat="1" applyFont="1" applyFill="1" applyAlignment="1">
      <alignment horizontal="right"/>
    </xf>
    <xf numFmtId="0" fontId="8" fillId="27" borderId="0" xfId="0" applyFont="1" applyFill="1" applyAlignment="1">
      <alignment horizontal="left"/>
    </xf>
    <xf numFmtId="4" fontId="9" fillId="27" borderId="0" xfId="0" applyNumberFormat="1" applyFont="1" applyFill="1" applyAlignment="1">
      <alignment horizontal="right"/>
    </xf>
    <xf numFmtId="0" fontId="4" fillId="27" borderId="0" xfId="0" applyFont="1" applyFill="1"/>
    <xf numFmtId="0" fontId="9" fillId="27" borderId="0" xfId="0" applyFont="1" applyFill="1"/>
    <xf numFmtId="8" fontId="42" fillId="14" borderId="0" xfId="6" applyNumberFormat="1" applyFont="1" applyFill="1"/>
    <xf numFmtId="0" fontId="2" fillId="12" borderId="0" xfId="4" applyFill="1"/>
    <xf numFmtId="0" fontId="2" fillId="12" borderId="2" xfId="4" applyFill="1" applyBorder="1"/>
    <xf numFmtId="0" fontId="3" fillId="12" borderId="0" xfId="4" applyFont="1" applyFill="1" applyAlignment="1">
      <alignment horizontal="left"/>
    </xf>
    <xf numFmtId="3" fontId="4" fillId="12" borderId="0" xfId="4" applyNumberFormat="1" applyFont="1" applyFill="1" applyAlignment="1">
      <alignment horizontal="right"/>
    </xf>
    <xf numFmtId="3" fontId="2" fillId="12" borderId="0" xfId="4" applyNumberFormat="1" applyFill="1" applyAlignment="1">
      <alignment horizontal="right"/>
    </xf>
    <xf numFmtId="3" fontId="5" fillId="12" borderId="0" xfId="4" applyNumberFormat="1" applyFont="1" applyFill="1" applyAlignment="1">
      <alignment horizontal="right"/>
    </xf>
    <xf numFmtId="0" fontId="2" fillId="12" borderId="0" xfId="4" applyFill="1" applyAlignment="1">
      <alignment horizontal="left"/>
    </xf>
    <xf numFmtId="164" fontId="4" fillId="12" borderId="0" xfId="1" applyNumberFormat="1" applyFont="1" applyFill="1" applyAlignment="1">
      <alignment horizontal="right"/>
    </xf>
    <xf numFmtId="4" fontId="2" fillId="12" borderId="0" xfId="4" applyNumberFormat="1" applyFill="1" applyAlignment="1">
      <alignment horizontal="right"/>
    </xf>
    <xf numFmtId="4" fontId="4" fillId="12" borderId="0" xfId="4" applyNumberFormat="1" applyFont="1" applyFill="1" applyAlignment="1">
      <alignment horizontal="right"/>
    </xf>
    <xf numFmtId="4" fontId="5" fillId="12" borderId="0" xfId="4" applyNumberFormat="1" applyFont="1" applyFill="1" applyAlignment="1">
      <alignment horizontal="right"/>
    </xf>
    <xf numFmtId="167" fontId="2" fillId="12" borderId="0" xfId="4" applyNumberFormat="1" applyFill="1" applyAlignment="1">
      <alignment horizontal="right"/>
    </xf>
    <xf numFmtId="167" fontId="4" fillId="12" borderId="0" xfId="4" applyNumberFormat="1" applyFont="1" applyFill="1" applyAlignment="1">
      <alignment horizontal="right"/>
    </xf>
    <xf numFmtId="167" fontId="5" fillId="12" borderId="0" xfId="4" applyNumberFormat="1" applyFont="1" applyFill="1" applyAlignment="1">
      <alignment horizontal="right"/>
    </xf>
    <xf numFmtId="175" fontId="38" fillId="0" borderId="5" xfId="0" applyNumberFormat="1" applyFont="1" applyBorder="1" applyAlignment="1">
      <alignment horizontal="right"/>
    </xf>
    <xf numFmtId="0" fontId="2" fillId="28" borderId="0" xfId="4" applyFill="1" applyAlignment="1">
      <alignment horizontal="left"/>
    </xf>
    <xf numFmtId="167" fontId="5" fillId="28" borderId="0" xfId="4" applyNumberFormat="1" applyFont="1" applyFill="1" applyAlignment="1">
      <alignment horizontal="right"/>
    </xf>
    <xf numFmtId="167" fontId="2" fillId="28" borderId="0" xfId="4" applyNumberFormat="1" applyFill="1" applyAlignment="1">
      <alignment horizontal="right"/>
    </xf>
    <xf numFmtId="10" fontId="0" fillId="0" borderId="0" xfId="1" applyNumberFormat="1" applyFont="1"/>
    <xf numFmtId="43" fontId="0" fillId="3" borderId="0" xfId="2" applyFont="1" applyFill="1" applyAlignment="1">
      <alignment horizontal="right"/>
    </xf>
    <xf numFmtId="169" fontId="9" fillId="7" borderId="0" xfId="0" applyNumberFormat="1" applyFont="1" applyFill="1" applyAlignment="1">
      <alignment horizontal="right"/>
    </xf>
    <xf numFmtId="169" fontId="9" fillId="27" borderId="0" xfId="0" applyNumberFormat="1" applyFont="1" applyFill="1" applyAlignment="1">
      <alignment horizontal="right"/>
    </xf>
    <xf numFmtId="168" fontId="0" fillId="0" borderId="0" xfId="0" applyNumberFormat="1"/>
    <xf numFmtId="168" fontId="39" fillId="0" borderId="3" xfId="0" applyNumberFormat="1" applyFont="1" applyBorder="1"/>
    <xf numFmtId="168" fontId="41" fillId="0" borderId="3" xfId="0" applyNumberFormat="1" applyFont="1" applyBorder="1"/>
    <xf numFmtId="168" fontId="33" fillId="0" borderId="3" xfId="0" applyNumberFormat="1" applyFont="1" applyBorder="1"/>
    <xf numFmtId="168" fontId="33" fillId="0" borderId="3" xfId="2" applyNumberFormat="1" applyFont="1" applyBorder="1" applyAlignment="1">
      <alignment horizontal="right"/>
    </xf>
    <xf numFmtId="10" fontId="44" fillId="0" borderId="13" xfId="1" applyNumberFormat="1" applyFont="1" applyBorder="1" applyAlignment="1">
      <alignment horizontal="right"/>
    </xf>
    <xf numFmtId="0" fontId="42" fillId="0" borderId="9" xfId="0" applyFont="1" applyBorder="1"/>
    <xf numFmtId="168" fontId="42" fillId="0" borderId="11" xfId="0" applyNumberFormat="1" applyFont="1" applyBorder="1" applyAlignment="1">
      <alignment horizontal="right"/>
    </xf>
    <xf numFmtId="0" fontId="10" fillId="0" borderId="0" xfId="4" applyFont="1"/>
    <xf numFmtId="0" fontId="14" fillId="9" borderId="19" xfId="0" applyFont="1" applyFill="1" applyBorder="1" applyAlignment="1">
      <alignment horizontal="center"/>
    </xf>
    <xf numFmtId="0" fontId="10" fillId="0" borderId="21" xfId="0" applyFont="1" applyBorder="1"/>
    <xf numFmtId="0" fontId="10" fillId="0" borderId="22" xfId="0" applyFont="1" applyBorder="1"/>
    <xf numFmtId="10" fontId="14" fillId="0" borderId="43" xfId="0" applyNumberFormat="1" applyFont="1" applyBorder="1"/>
    <xf numFmtId="9" fontId="10" fillId="0" borderId="44" xfId="0" applyNumberFormat="1" applyFont="1" applyBorder="1"/>
    <xf numFmtId="10" fontId="10" fillId="0" borderId="11" xfId="4" applyNumberFormat="1" applyFont="1" applyBorder="1"/>
    <xf numFmtId="43" fontId="0" fillId="0" borderId="0" xfId="0" applyNumberFormat="1"/>
    <xf numFmtId="0" fontId="4" fillId="7" borderId="0" xfId="0" applyFont="1" applyFill="1"/>
    <xf numFmtId="0" fontId="4" fillId="13" borderId="0" xfId="0" applyFont="1" applyFill="1"/>
    <xf numFmtId="0" fontId="92" fillId="11" borderId="0" xfId="0" applyFont="1" applyFill="1"/>
    <xf numFmtId="2" fontId="4" fillId="27" borderId="0" xfId="0" applyNumberFormat="1" applyFont="1" applyFill="1"/>
    <xf numFmtId="2" fontId="4" fillId="13" borderId="0" xfId="0" applyNumberFormat="1" applyFont="1" applyFill="1"/>
    <xf numFmtId="2" fontId="92" fillId="11" borderId="0" xfId="0" applyNumberFormat="1" applyFont="1" applyFill="1"/>
    <xf numFmtId="2" fontId="4" fillId="7" borderId="0" xfId="0" applyNumberFormat="1" applyFont="1" applyFill="1"/>
    <xf numFmtId="168" fontId="54" fillId="0" borderId="27" xfId="0" applyNumberFormat="1" applyFont="1" applyBorder="1" applyAlignment="1">
      <alignment horizontal="right"/>
    </xf>
    <xf numFmtId="168" fontId="54" fillId="0" borderId="3" xfId="0" applyNumberFormat="1" applyFont="1" applyBorder="1" applyAlignment="1">
      <alignment horizontal="right"/>
    </xf>
    <xf numFmtId="168" fontId="45" fillId="0" borderId="0" xfId="2" applyNumberFormat="1" applyFont="1" applyFill="1" applyBorder="1" applyAlignment="1">
      <alignment horizontal="right"/>
    </xf>
    <xf numFmtId="168" fontId="45" fillId="0" borderId="3" xfId="2" applyNumberFormat="1" applyFont="1" applyFill="1" applyBorder="1" applyAlignment="1">
      <alignment horizontal="right"/>
    </xf>
    <xf numFmtId="43" fontId="33" fillId="0" borderId="0" xfId="0" applyNumberFormat="1" applyFont="1" applyAlignment="1">
      <alignment horizontal="center"/>
    </xf>
    <xf numFmtId="164" fontId="33" fillId="0" borderId="0" xfId="1" applyNumberFormat="1" applyFont="1" applyFill="1" applyAlignment="1">
      <alignment horizontal="center"/>
    </xf>
    <xf numFmtId="43" fontId="39" fillId="0" borderId="0" xfId="2" applyFont="1" applyFill="1" applyAlignment="1">
      <alignment horizontal="center"/>
    </xf>
    <xf numFmtId="3" fontId="2" fillId="5" borderId="0" xfId="4" applyNumberFormat="1" applyFill="1" applyAlignment="1">
      <alignment horizontal="right"/>
    </xf>
    <xf numFmtId="3" fontId="4" fillId="5" borderId="0" xfId="4" applyNumberFormat="1" applyFont="1" applyFill="1" applyAlignment="1">
      <alignment horizontal="right"/>
    </xf>
    <xf numFmtId="9" fontId="0" fillId="0" borderId="0" xfId="1" applyFont="1"/>
    <xf numFmtId="9" fontId="49" fillId="0" borderId="0" xfId="1" applyFont="1"/>
    <xf numFmtId="164" fontId="2" fillId="0" borderId="0" xfId="4" applyNumberFormat="1"/>
    <xf numFmtId="10" fontId="10" fillId="0" borderId="0" xfId="1" applyNumberFormat="1" applyFont="1"/>
    <xf numFmtId="10" fontId="11" fillId="0" borderId="0" xfId="0" applyNumberFormat="1" applyFont="1"/>
    <xf numFmtId="43" fontId="29" fillId="0" borderId="45" xfId="0" applyNumberFormat="1" applyFont="1" applyBorder="1"/>
    <xf numFmtId="43" fontId="0" fillId="0" borderId="45" xfId="0" applyNumberFormat="1" applyBorder="1"/>
    <xf numFmtId="0" fontId="0" fillId="0" borderId="5" xfId="0" applyBorder="1"/>
    <xf numFmtId="0" fontId="0" fillId="0" borderId="4" xfId="0" applyBorder="1" applyAlignment="1">
      <alignment horizontal="center"/>
    </xf>
    <xf numFmtId="0" fontId="0" fillId="0" borderId="6" xfId="0" applyBorder="1" applyAlignment="1">
      <alignment horizontal="center"/>
    </xf>
    <xf numFmtId="0" fontId="0" fillId="0" borderId="10" xfId="0" applyBorder="1" applyAlignment="1">
      <alignment horizontal="center"/>
    </xf>
    <xf numFmtId="44" fontId="0" fillId="0" borderId="11" xfId="6" applyFont="1" applyBorder="1"/>
    <xf numFmtId="9" fontId="0" fillId="12" borderId="0" xfId="0" applyNumberFormat="1" applyFill="1"/>
    <xf numFmtId="10" fontId="10" fillId="0" borderId="0" xfId="4" applyNumberFormat="1" applyFont="1"/>
    <xf numFmtId="8" fontId="0" fillId="0" borderId="9" xfId="6" applyNumberFormat="1" applyFont="1" applyBorder="1"/>
    <xf numFmtId="10" fontId="10" fillId="12" borderId="0" xfId="4" applyNumberFormat="1" applyFont="1" applyFill="1"/>
    <xf numFmtId="0" fontId="10" fillId="12" borderId="0" xfId="4" applyFont="1" applyFill="1"/>
    <xf numFmtId="0" fontId="29" fillId="0" borderId="0" xfId="0" applyFont="1"/>
    <xf numFmtId="43" fontId="29" fillId="0" borderId="0" xfId="0" applyNumberFormat="1" applyFont="1"/>
    <xf numFmtId="9" fontId="52" fillId="0" borderId="0" xfId="0" applyNumberFormat="1" applyFont="1" applyAlignment="1">
      <alignment horizontal="right"/>
    </xf>
    <xf numFmtId="168" fontId="49" fillId="0" borderId="0" xfId="0" applyNumberFormat="1" applyFont="1"/>
    <xf numFmtId="0" fontId="56" fillId="0" borderId="0" xfId="0" applyFont="1"/>
    <xf numFmtId="168" fontId="56" fillId="0" borderId="0" xfId="0" applyNumberFormat="1" applyFont="1"/>
    <xf numFmtId="168" fontId="57" fillId="0" borderId="0" xfId="0" applyNumberFormat="1" applyFont="1"/>
    <xf numFmtId="164" fontId="52" fillId="0" borderId="0" xfId="0" applyNumberFormat="1" applyFont="1" applyAlignment="1">
      <alignment horizontal="right"/>
    </xf>
    <xf numFmtId="164" fontId="53" fillId="0" borderId="0" xfId="0" applyNumberFormat="1" applyFont="1" applyAlignment="1">
      <alignment horizontal="right"/>
    </xf>
    <xf numFmtId="168" fontId="54" fillId="0" borderId="0" xfId="0" applyNumberFormat="1" applyFont="1" applyAlignment="1">
      <alignment horizontal="right"/>
    </xf>
    <xf numFmtId="43" fontId="39" fillId="0" borderId="0" xfId="0" applyNumberFormat="1" applyFont="1" applyAlignment="1">
      <alignment horizontal="right"/>
    </xf>
    <xf numFmtId="168" fontId="57" fillId="0" borderId="0" xfId="0" applyNumberFormat="1" applyFont="1" applyAlignment="1">
      <alignment horizontal="right"/>
    </xf>
    <xf numFmtId="43" fontId="49" fillId="0" borderId="0" xfId="0" applyNumberFormat="1" applyFont="1" applyAlignment="1">
      <alignment horizontal="right"/>
    </xf>
    <xf numFmtId="10" fontId="52" fillId="0" borderId="0" xfId="0" applyNumberFormat="1" applyFont="1" applyAlignment="1">
      <alignment horizontal="right"/>
    </xf>
    <xf numFmtId="10" fontId="53" fillId="0" borderId="0" xfId="0" applyNumberFormat="1" applyFont="1" applyAlignment="1">
      <alignment horizontal="right"/>
    </xf>
    <xf numFmtId="168" fontId="57" fillId="20" borderId="11" xfId="0" applyNumberFormat="1" applyFont="1" applyFill="1" applyBorder="1"/>
    <xf numFmtId="9" fontId="57" fillId="0" borderId="0" xfId="0" applyNumberFormat="1" applyFont="1" applyAlignment="1">
      <alignment horizontal="right"/>
    </xf>
    <xf numFmtId="9" fontId="53" fillId="0" borderId="0" xfId="0" applyNumberFormat="1" applyFont="1" applyAlignment="1">
      <alignment horizontal="right"/>
    </xf>
    <xf numFmtId="168" fontId="38" fillId="0" borderId="4" xfId="0" applyNumberFormat="1" applyFont="1" applyBorder="1" applyAlignment="1">
      <alignment horizontal="right"/>
    </xf>
    <xf numFmtId="9" fontId="52" fillId="0" borderId="7" xfId="0" applyNumberFormat="1" applyFont="1" applyBorder="1" applyAlignment="1">
      <alignment horizontal="right"/>
    </xf>
    <xf numFmtId="168" fontId="54" fillId="0" borderId="7" xfId="0" applyNumberFormat="1" applyFont="1" applyBorder="1" applyAlignment="1">
      <alignment horizontal="right"/>
    </xf>
    <xf numFmtId="168" fontId="38" fillId="0" borderId="7" xfId="0" applyNumberFormat="1" applyFont="1" applyBorder="1" applyAlignment="1">
      <alignment horizontal="right"/>
    </xf>
    <xf numFmtId="168" fontId="57" fillId="0" borderId="7" xfId="0" applyNumberFormat="1" applyFont="1" applyBorder="1" applyAlignment="1">
      <alignment horizontal="right"/>
    </xf>
    <xf numFmtId="168" fontId="49" fillId="0" borderId="7" xfId="0" applyNumberFormat="1" applyFont="1" applyBorder="1" applyAlignment="1">
      <alignment horizontal="right"/>
    </xf>
    <xf numFmtId="9" fontId="53" fillId="0" borderId="3" xfId="0" applyNumberFormat="1" applyFont="1" applyBorder="1" applyAlignment="1">
      <alignment horizontal="right"/>
    </xf>
    <xf numFmtId="168" fontId="49" fillId="0" borderId="7" xfId="0" applyNumberFormat="1" applyFont="1" applyBorder="1"/>
    <xf numFmtId="168" fontId="56" fillId="20" borderId="9" xfId="0" applyNumberFormat="1" applyFont="1" applyFill="1" applyBorder="1"/>
    <xf numFmtId="168" fontId="57" fillId="20" borderId="28" xfId="0" applyNumberFormat="1" applyFont="1" applyFill="1" applyBorder="1"/>
    <xf numFmtId="0" fontId="55" fillId="0" borderId="0" xfId="0" applyFont="1" applyAlignment="1">
      <alignment vertical="center" textRotation="90" wrapText="1"/>
    </xf>
    <xf numFmtId="0" fontId="57" fillId="0" borderId="0" xfId="0" applyFont="1" applyAlignment="1">
      <alignment horizontal="right"/>
    </xf>
    <xf numFmtId="164" fontId="59" fillId="0" borderId="0" xfId="0" applyNumberFormat="1" applyFont="1" applyAlignment="1">
      <alignment horizontal="right"/>
    </xf>
    <xf numFmtId="164" fontId="59" fillId="0" borderId="11" xfId="0" applyNumberFormat="1" applyFont="1" applyBorder="1" applyAlignment="1">
      <alignment horizontal="right"/>
    </xf>
    <xf numFmtId="0" fontId="93" fillId="11" borderId="3" xfId="0" applyFont="1" applyFill="1" applyBorder="1" applyAlignment="1">
      <alignment horizontal="center" vertical="center"/>
    </xf>
    <xf numFmtId="0" fontId="56" fillId="0" borderId="4" xfId="0" applyFont="1" applyBorder="1"/>
    <xf numFmtId="9" fontId="39" fillId="0" borderId="3" xfId="1" applyFont="1" applyBorder="1" applyAlignment="1">
      <alignment horizontal="right"/>
    </xf>
    <xf numFmtId="164" fontId="52" fillId="19" borderId="0" xfId="0" applyNumberFormat="1" applyFont="1" applyFill="1" applyAlignment="1">
      <alignment horizontal="right"/>
    </xf>
    <xf numFmtId="164" fontId="52" fillId="19" borderId="3" xfId="0" applyNumberFormat="1" applyFont="1" applyFill="1" applyBorder="1" applyAlignment="1">
      <alignment horizontal="right"/>
    </xf>
    <xf numFmtId="0" fontId="33" fillId="11" borderId="0" xfId="0" applyFont="1" applyFill="1"/>
    <xf numFmtId="168" fontId="39" fillId="0" borderId="0" xfId="0" applyNumberFormat="1" applyFont="1"/>
    <xf numFmtId="168" fontId="40" fillId="0" borderId="0" xfId="0" applyNumberFormat="1" applyFont="1"/>
    <xf numFmtId="168" fontId="41" fillId="0" borderId="0" xfId="0" applyNumberFormat="1" applyFont="1"/>
    <xf numFmtId="168" fontId="39" fillId="14" borderId="0" xfId="0" applyNumberFormat="1" applyFont="1" applyFill="1"/>
    <xf numFmtId="168" fontId="38" fillId="0" borderId="0" xfId="0" applyNumberFormat="1" applyFont="1"/>
    <xf numFmtId="168" fontId="33" fillId="8" borderId="0" xfId="0" applyNumberFormat="1" applyFont="1" applyFill="1"/>
    <xf numFmtId="0" fontId="29" fillId="0" borderId="46" xfId="0" applyFont="1" applyBorder="1"/>
    <xf numFmtId="0" fontId="29" fillId="0" borderId="47" xfId="0" applyFont="1" applyBorder="1"/>
    <xf numFmtId="0" fontId="29" fillId="0" borderId="48" xfId="0" applyFont="1" applyBorder="1"/>
    <xf numFmtId="0" fontId="29" fillId="0" borderId="49" xfId="0" applyFont="1" applyBorder="1"/>
    <xf numFmtId="43" fontId="29" fillId="0" borderId="50" xfId="0" applyNumberFormat="1" applyFont="1" applyBorder="1"/>
    <xf numFmtId="43" fontId="29" fillId="0" borderId="51" xfId="0" applyNumberFormat="1" applyFont="1" applyBorder="1"/>
    <xf numFmtId="0" fontId="0" fillId="0" borderId="50" xfId="0" applyBorder="1"/>
    <xf numFmtId="43" fontId="0" fillId="0" borderId="51" xfId="0" applyNumberFormat="1" applyBorder="1"/>
    <xf numFmtId="43" fontId="0" fillId="0" borderId="52" xfId="0" applyNumberFormat="1" applyBorder="1"/>
    <xf numFmtId="43" fontId="0" fillId="0" borderId="53" xfId="0" applyNumberFormat="1" applyBorder="1"/>
    <xf numFmtId="43" fontId="0" fillId="0" borderId="54" xfId="0" applyNumberFormat="1" applyBorder="1"/>
    <xf numFmtId="44" fontId="0" fillId="0" borderId="0" xfId="0" applyNumberFormat="1"/>
    <xf numFmtId="0" fontId="90" fillId="0" borderId="0" xfId="0" applyFont="1"/>
    <xf numFmtId="10" fontId="49" fillId="0" borderId="0" xfId="0" applyNumberFormat="1" applyFont="1"/>
    <xf numFmtId="0" fontId="0" fillId="12" borderId="0" xfId="0" applyFill="1"/>
    <xf numFmtId="0" fontId="94" fillId="0" borderId="11" xfId="4" applyFont="1" applyBorder="1"/>
    <xf numFmtId="0" fontId="94" fillId="0" borderId="9" xfId="4" applyFont="1" applyBorder="1"/>
    <xf numFmtId="0" fontId="94" fillId="0" borderId="3" xfId="4" applyFont="1" applyBorder="1"/>
    <xf numFmtId="0" fontId="94" fillId="0" borderId="7" xfId="4" applyFont="1" applyBorder="1"/>
    <xf numFmtId="0" fontId="95" fillId="0" borderId="7" xfId="4" applyFont="1" applyBorder="1"/>
    <xf numFmtId="9" fontId="94" fillId="0" borderId="3" xfId="4" applyNumberFormat="1" applyFont="1" applyBorder="1"/>
    <xf numFmtId="0" fontId="94" fillId="0" borderId="6" xfId="4" applyFont="1" applyBorder="1"/>
    <xf numFmtId="0" fontId="95" fillId="0" borderId="4" xfId="4" applyFont="1" applyBorder="1"/>
    <xf numFmtId="168" fontId="96" fillId="0" borderId="0" xfId="2" applyNumberFormat="1" applyFont="1" applyBorder="1"/>
    <xf numFmtId="0" fontId="97" fillId="0" borderId="0" xfId="4" applyFont="1"/>
    <xf numFmtId="0" fontId="98" fillId="0" borderId="0" xfId="4" applyFont="1"/>
    <xf numFmtId="43" fontId="96" fillId="0" borderId="0" xfId="2" applyFont="1" applyBorder="1"/>
    <xf numFmtId="0" fontId="99" fillId="0" borderId="0" xfId="4" applyFont="1"/>
    <xf numFmtId="164" fontId="96" fillId="0" borderId="8" xfId="4" applyNumberFormat="1" applyFont="1" applyBorder="1"/>
    <xf numFmtId="0" fontId="98" fillId="0" borderId="8" xfId="4" applyFont="1" applyBorder="1"/>
    <xf numFmtId="0" fontId="96" fillId="0" borderId="8" xfId="4" applyFont="1" applyBorder="1"/>
    <xf numFmtId="10" fontId="96" fillId="10" borderId="0" xfId="4" applyNumberFormat="1" applyFont="1" applyFill="1"/>
    <xf numFmtId="0" fontId="98" fillId="10" borderId="0" xfId="4" applyFont="1" applyFill="1"/>
    <xf numFmtId="0" fontId="97" fillId="10" borderId="0" xfId="4" applyFont="1" applyFill="1"/>
    <xf numFmtId="2" fontId="96" fillId="0" borderId="0" xfId="4" applyNumberFormat="1" applyFont="1"/>
    <xf numFmtId="164" fontId="96" fillId="0" borderId="0" xfId="4" applyNumberFormat="1" applyFont="1"/>
    <xf numFmtId="164" fontId="96" fillId="0" borderId="40" xfId="4" applyNumberFormat="1" applyFont="1" applyBorder="1"/>
    <xf numFmtId="0" fontId="96" fillId="0" borderId="0" xfId="4" applyFont="1"/>
    <xf numFmtId="0" fontId="100" fillId="0" borderId="0" xfId="4" applyFont="1" applyAlignment="1">
      <alignment horizontal="centerContinuous"/>
    </xf>
    <xf numFmtId="0" fontId="100" fillId="0" borderId="8" xfId="4" applyFont="1" applyBorder="1" applyAlignment="1">
      <alignment horizontal="centerContinuous"/>
    </xf>
    <xf numFmtId="0" fontId="100" fillId="0" borderId="8" xfId="4" applyFont="1" applyBorder="1"/>
    <xf numFmtId="0" fontId="98" fillId="0" borderId="3" xfId="4" applyFont="1" applyBorder="1"/>
    <xf numFmtId="0" fontId="101" fillId="0" borderId="3" xfId="4" applyFont="1" applyBorder="1" applyAlignment="1">
      <alignment horizontal="right"/>
    </xf>
    <xf numFmtId="0" fontId="102" fillId="0" borderId="0" xfId="4" applyFont="1"/>
    <xf numFmtId="0" fontId="101" fillId="0" borderId="0" xfId="4" applyFont="1" applyAlignment="1">
      <alignment horizontal="right"/>
    </xf>
    <xf numFmtId="0" fontId="103" fillId="0" borderId="0" xfId="4" applyFont="1" applyAlignment="1">
      <alignment horizontal="right"/>
    </xf>
    <xf numFmtId="0" fontId="104" fillId="0" borderId="3" xfId="4" applyFont="1" applyBorder="1"/>
    <xf numFmtId="174" fontId="104" fillId="0" borderId="0" xfId="4" applyNumberFormat="1" applyFont="1"/>
    <xf numFmtId="172" fontId="104" fillId="0" borderId="39" xfId="4" applyNumberFormat="1" applyFont="1" applyBorder="1"/>
    <xf numFmtId="0" fontId="104" fillId="0" borderId="38" xfId="4" applyFont="1" applyBorder="1"/>
    <xf numFmtId="0" fontId="104" fillId="0" borderId="0" xfId="4" applyFont="1"/>
    <xf numFmtId="0" fontId="105" fillId="0" borderId="34" xfId="4" applyFont="1" applyBorder="1"/>
    <xf numFmtId="0" fontId="105" fillId="0" borderId="33" xfId="4" applyFont="1" applyBorder="1"/>
    <xf numFmtId="164" fontId="106" fillId="0" borderId="41" xfId="5" applyNumberFormat="1" applyFont="1" applyBorder="1" applyAlignment="1">
      <alignment horizontal="centerContinuous"/>
    </xf>
    <xf numFmtId="164" fontId="107" fillId="0" borderId="37" xfId="5" applyNumberFormat="1" applyFont="1" applyFill="1" applyBorder="1" applyAlignment="1">
      <alignment horizontal="centerContinuous"/>
    </xf>
    <xf numFmtId="0" fontId="105" fillId="0" borderId="16" xfId="4" applyFont="1" applyBorder="1"/>
    <xf numFmtId="0" fontId="105" fillId="0" borderId="27" xfId="4" applyFont="1" applyBorder="1"/>
    <xf numFmtId="172" fontId="106" fillId="0" borderId="41" xfId="4" applyNumberFormat="1" applyFont="1" applyBorder="1" applyAlignment="1">
      <alignment horizontal="centerContinuous"/>
    </xf>
    <xf numFmtId="0" fontId="104" fillId="0" borderId="37" xfId="4" applyFont="1" applyBorder="1" applyAlignment="1">
      <alignment horizontal="centerContinuous"/>
    </xf>
    <xf numFmtId="1" fontId="104" fillId="0" borderId="0" xfId="4" applyNumberFormat="1" applyFont="1"/>
    <xf numFmtId="172" fontId="106" fillId="0" borderId="36" xfId="4" applyNumberFormat="1" applyFont="1" applyBorder="1"/>
    <xf numFmtId="0" fontId="104" fillId="0" borderId="35" xfId="4" applyFont="1" applyBorder="1"/>
    <xf numFmtId="164" fontId="104" fillId="0" borderId="0" xfId="5" applyNumberFormat="1" applyFont="1" applyBorder="1" applyAlignment="1">
      <alignment horizontal="right"/>
    </xf>
    <xf numFmtId="1" fontId="108" fillId="0" borderId="0" xfId="4" applyNumberFormat="1" applyFont="1"/>
    <xf numFmtId="0" fontId="105" fillId="0" borderId="0" xfId="4" applyFont="1" applyAlignment="1">
      <alignment horizontal="centerContinuous"/>
    </xf>
    <xf numFmtId="0" fontId="105" fillId="0" borderId="0" xfId="4" applyFont="1"/>
    <xf numFmtId="0" fontId="109" fillId="0" borderId="16" xfId="4" applyFont="1" applyBorder="1" applyAlignment="1">
      <alignment horizontal="centerContinuous"/>
    </xf>
    <xf numFmtId="0" fontId="105" fillId="0" borderId="27" xfId="4" applyFont="1" applyBorder="1" applyAlignment="1">
      <alignment horizontal="centerContinuous"/>
    </xf>
    <xf numFmtId="164" fontId="104" fillId="0" borderId="3" xfId="5" applyNumberFormat="1" applyFont="1" applyBorder="1" applyAlignment="1">
      <alignment horizontal="right"/>
    </xf>
    <xf numFmtId="164" fontId="110" fillId="0" borderId="0" xfId="5" applyNumberFormat="1" applyFont="1" applyBorder="1" applyAlignment="1">
      <alignment horizontal="centerContinuous"/>
    </xf>
    <xf numFmtId="164" fontId="106" fillId="0" borderId="3" xfId="5" applyNumberFormat="1" applyFont="1" applyBorder="1"/>
    <xf numFmtId="164" fontId="110" fillId="0" borderId="0" xfId="5" applyNumberFormat="1" applyFont="1" applyBorder="1"/>
    <xf numFmtId="164" fontId="106" fillId="0" borderId="0" xfId="5" applyNumberFormat="1" applyFont="1" applyBorder="1"/>
    <xf numFmtId="164" fontId="106" fillId="0" borderId="0" xfId="5" applyNumberFormat="1" applyFont="1" applyFill="1" applyBorder="1"/>
    <xf numFmtId="0" fontId="105" fillId="0" borderId="16" xfId="4" applyFont="1" applyBorder="1" applyAlignment="1">
      <alignment horizontal="centerContinuous"/>
    </xf>
    <xf numFmtId="0" fontId="105" fillId="0" borderId="3" xfId="4" applyFont="1" applyBorder="1" applyAlignment="1">
      <alignment horizontal="centerContinuous"/>
    </xf>
    <xf numFmtId="164" fontId="105" fillId="0" borderId="0" xfId="5" applyNumberFormat="1" applyFont="1" applyBorder="1" applyAlignment="1">
      <alignment horizontal="centerContinuous"/>
    </xf>
    <xf numFmtId="164" fontId="105" fillId="0" borderId="0" xfId="5" applyNumberFormat="1" applyFont="1" applyFill="1" applyBorder="1" applyAlignment="1">
      <alignment horizontal="centerContinuous"/>
    </xf>
    <xf numFmtId="164" fontId="105" fillId="0" borderId="0" xfId="5" applyNumberFormat="1" applyFont="1" applyFill="1" applyBorder="1" applyAlignment="1"/>
    <xf numFmtId="172" fontId="104" fillId="0" borderId="0" xfId="4" applyNumberFormat="1" applyFont="1" applyAlignment="1">
      <alignment horizontal="center"/>
    </xf>
    <xf numFmtId="173" fontId="110" fillId="0" borderId="0" xfId="4" applyNumberFormat="1" applyFont="1"/>
    <xf numFmtId="164" fontId="110" fillId="0" borderId="0" xfId="5" applyNumberFormat="1" applyFont="1" applyBorder="1" applyAlignment="1">
      <alignment horizontal="center"/>
    </xf>
    <xf numFmtId="164" fontId="110" fillId="0" borderId="41" xfId="5" applyNumberFormat="1" applyFont="1" applyBorder="1" applyAlignment="1">
      <alignment horizontal="centerContinuous"/>
    </xf>
    <xf numFmtId="164" fontId="110" fillId="0" borderId="37" xfId="5" applyNumberFormat="1" applyFont="1" applyBorder="1" applyAlignment="1">
      <alignment horizontal="centerContinuous"/>
    </xf>
    <xf numFmtId="164" fontId="110" fillId="0" borderId="41" xfId="5" applyNumberFormat="1" applyFont="1" applyFill="1" applyBorder="1" applyAlignment="1">
      <alignment horizontal="centerContinuous"/>
    </xf>
    <xf numFmtId="164" fontId="110" fillId="0" borderId="37" xfId="5" applyNumberFormat="1" applyFont="1" applyFill="1" applyBorder="1" applyAlignment="1">
      <alignment horizontal="centerContinuous"/>
    </xf>
    <xf numFmtId="172" fontId="106" fillId="0" borderId="0" xfId="4" applyNumberFormat="1" applyFont="1"/>
    <xf numFmtId="172" fontId="104" fillId="0" borderId="3" xfId="4" applyNumberFormat="1" applyFont="1" applyBorder="1"/>
    <xf numFmtId="172" fontId="104" fillId="0" borderId="0" xfId="4" applyNumberFormat="1" applyFont="1"/>
    <xf numFmtId="0" fontId="104" fillId="7" borderId="24" xfId="4" applyFont="1" applyFill="1" applyBorder="1"/>
    <xf numFmtId="172" fontId="104" fillId="7" borderId="8" xfId="4" applyNumberFormat="1" applyFont="1" applyFill="1" applyBorder="1"/>
    <xf numFmtId="0" fontId="104" fillId="7" borderId="33" xfId="4" applyFont="1" applyFill="1" applyBorder="1"/>
    <xf numFmtId="172" fontId="106" fillId="0" borderId="36" xfId="4" applyNumberFormat="1" applyFont="1" applyBorder="1" applyAlignment="1">
      <alignment horizontal="centerContinuous"/>
    </xf>
    <xf numFmtId="0" fontId="104" fillId="0" borderId="35" xfId="4" applyFont="1" applyBorder="1" applyAlignment="1">
      <alignment horizontal="centerContinuous"/>
    </xf>
    <xf numFmtId="0" fontId="109" fillId="0" borderId="32" xfId="4" applyFont="1" applyBorder="1"/>
    <xf numFmtId="0" fontId="105" fillId="0" borderId="31" xfId="4" applyFont="1" applyBorder="1"/>
    <xf numFmtId="0" fontId="104" fillId="5" borderId="34" xfId="4" applyFont="1" applyFill="1" applyBorder="1"/>
    <xf numFmtId="172" fontId="104" fillId="5" borderId="8" xfId="4" applyNumberFormat="1" applyFont="1" applyFill="1" applyBorder="1"/>
    <xf numFmtId="0" fontId="104" fillId="5" borderId="33" xfId="4" applyFont="1" applyFill="1" applyBorder="1"/>
    <xf numFmtId="172" fontId="110" fillId="0" borderId="0" xfId="4" applyNumberFormat="1" applyFont="1"/>
    <xf numFmtId="164" fontId="106" fillId="0" borderId="41" xfId="5" applyNumberFormat="1" applyFont="1" applyFill="1" applyBorder="1" applyAlignment="1">
      <alignment horizontal="centerContinuous"/>
    </xf>
    <xf numFmtId="10" fontId="107" fillId="0" borderId="37" xfId="5" applyNumberFormat="1" applyFont="1" applyFill="1" applyBorder="1" applyAlignment="1">
      <alignment horizontal="centerContinuous"/>
    </xf>
    <xf numFmtId="0" fontId="110" fillId="0" borderId="0" xfId="4" applyFont="1"/>
    <xf numFmtId="172" fontId="105" fillId="7" borderId="3" xfId="4" applyNumberFormat="1" applyFont="1" applyFill="1" applyBorder="1" applyAlignment="1">
      <alignment horizontal="centerContinuous"/>
    </xf>
    <xf numFmtId="172" fontId="111" fillId="7" borderId="0" xfId="4" applyNumberFormat="1" applyFont="1" applyFill="1" applyAlignment="1">
      <alignment horizontal="centerContinuous"/>
    </xf>
    <xf numFmtId="0" fontId="105" fillId="7" borderId="27" xfId="4" applyFont="1" applyFill="1" applyBorder="1" applyAlignment="1">
      <alignment horizontal="centerContinuous"/>
    </xf>
    <xf numFmtId="172" fontId="105" fillId="5" borderId="16" xfId="4" applyNumberFormat="1" applyFont="1" applyFill="1" applyBorder="1" applyAlignment="1">
      <alignment horizontal="centerContinuous"/>
    </xf>
    <xf numFmtId="172" fontId="111" fillId="5" borderId="0" xfId="4" applyNumberFormat="1" applyFont="1" applyFill="1" applyAlignment="1">
      <alignment horizontal="centerContinuous"/>
    </xf>
    <xf numFmtId="0" fontId="105" fillId="5" borderId="27" xfId="4" applyFont="1" applyFill="1" applyBorder="1" applyAlignment="1">
      <alignment horizontal="centerContinuous"/>
    </xf>
    <xf numFmtId="172" fontId="104" fillId="7" borderId="42" xfId="4" applyNumberFormat="1" applyFont="1" applyFill="1" applyBorder="1"/>
    <xf numFmtId="172" fontId="106" fillId="7" borderId="40" xfId="4" applyNumberFormat="1" applyFont="1" applyFill="1" applyBorder="1"/>
    <xf numFmtId="0" fontId="104" fillId="7" borderId="31" xfId="4" applyFont="1" applyFill="1" applyBorder="1"/>
    <xf numFmtId="0" fontId="109" fillId="0" borderId="34" xfId="4" applyFont="1" applyBorder="1"/>
    <xf numFmtId="172" fontId="104" fillId="5" borderId="32" xfId="4" applyNumberFormat="1" applyFont="1" applyFill="1" applyBorder="1"/>
    <xf numFmtId="172" fontId="106" fillId="5" borderId="40" xfId="4" applyNumberFormat="1" applyFont="1" applyFill="1" applyBorder="1"/>
    <xf numFmtId="0" fontId="104" fillId="5" borderId="31" xfId="4" applyFont="1" applyFill="1" applyBorder="1"/>
    <xf numFmtId="172" fontId="112" fillId="0" borderId="0" xfId="4" applyNumberFormat="1" applyFont="1"/>
    <xf numFmtId="172" fontId="104" fillId="0" borderId="41" xfId="4" applyNumberFormat="1" applyFont="1" applyBorder="1" applyAlignment="1">
      <alignment horizontal="centerContinuous"/>
    </xf>
    <xf numFmtId="173" fontId="104" fillId="0" borderId="37" xfId="4" applyNumberFormat="1" applyFont="1" applyBorder="1" applyAlignment="1">
      <alignment horizontal="centerContinuous"/>
    </xf>
    <xf numFmtId="0" fontId="109" fillId="0" borderId="16" xfId="4" applyFont="1" applyBorder="1"/>
    <xf numFmtId="172" fontId="106" fillId="0" borderId="3" xfId="4" applyNumberFormat="1" applyFont="1" applyBorder="1"/>
    <xf numFmtId="2" fontId="106" fillId="0" borderId="41" xfId="4" applyNumberFormat="1" applyFont="1" applyBorder="1" applyAlignment="1">
      <alignment horizontal="centerContinuous"/>
    </xf>
    <xf numFmtId="2" fontId="107" fillId="0" borderId="37" xfId="4" applyNumberFormat="1" applyFont="1" applyBorder="1" applyAlignment="1">
      <alignment horizontal="centerContinuous"/>
    </xf>
    <xf numFmtId="173" fontId="107" fillId="0" borderId="37" xfId="5" applyNumberFormat="1" applyFont="1" applyFill="1" applyBorder="1" applyAlignment="1">
      <alignment horizontal="centerContinuous"/>
    </xf>
    <xf numFmtId="0" fontId="105" fillId="0" borderId="0" xfId="4" applyFont="1" applyAlignment="1">
      <alignment horizontal="right"/>
    </xf>
    <xf numFmtId="0" fontId="105" fillId="0" borderId="3" xfId="4" applyFont="1" applyBorder="1" applyAlignment="1">
      <alignment horizontal="right"/>
    </xf>
    <xf numFmtId="0" fontId="105" fillId="0" borderId="32" xfId="4" applyFont="1" applyBorder="1"/>
    <xf numFmtId="0" fontId="81" fillId="29" borderId="0" xfId="4" applyFont="1" applyFill="1" applyAlignment="1">
      <alignment horizontal="centerContinuous"/>
    </xf>
    <xf numFmtId="0" fontId="113" fillId="29" borderId="0" xfId="4" applyFont="1" applyFill="1"/>
    <xf numFmtId="0" fontId="100" fillId="0" borderId="0" xfId="4" applyFont="1"/>
    <xf numFmtId="2" fontId="12" fillId="0" borderId="44" xfId="0" applyNumberFormat="1" applyFont="1" applyBorder="1"/>
    <xf numFmtId="173" fontId="114" fillId="0" borderId="37" xfId="4" applyNumberFormat="1" applyFont="1" applyBorder="1" applyAlignment="1">
      <alignment horizontal="centerContinuous"/>
    </xf>
    <xf numFmtId="164" fontId="33" fillId="10" borderId="0" xfId="1" applyNumberFormat="1" applyFont="1" applyFill="1" applyAlignment="1">
      <alignment horizontal="center"/>
    </xf>
    <xf numFmtId="0" fontId="67" fillId="0" borderId="0" xfId="0" applyFont="1"/>
    <xf numFmtId="2" fontId="67" fillId="0" borderId="0" xfId="0" applyNumberFormat="1" applyFont="1"/>
    <xf numFmtId="0" fontId="48" fillId="0" borderId="0" xfId="0" applyFont="1"/>
    <xf numFmtId="4" fontId="49" fillId="0" borderId="0" xfId="0" applyNumberFormat="1" applyFont="1"/>
    <xf numFmtId="4" fontId="22" fillId="0" borderId="0" xfId="0" applyNumberFormat="1" applyFont="1"/>
    <xf numFmtId="2" fontId="22" fillId="0" borderId="0" xfId="0" applyNumberFormat="1" applyFont="1"/>
    <xf numFmtId="0" fontId="21" fillId="0" borderId="0" xfId="0" applyFont="1"/>
    <xf numFmtId="0" fontId="47" fillId="0" borderId="0" xfId="0" applyFont="1"/>
    <xf numFmtId="0" fontId="20" fillId="0" borderId="0" xfId="0" applyFont="1"/>
    <xf numFmtId="0" fontId="19" fillId="0" borderId="0" xfId="0" applyFont="1"/>
    <xf numFmtId="10" fontId="105" fillId="5" borderId="27" xfId="5" applyNumberFormat="1" applyFont="1" applyFill="1" applyBorder="1" applyAlignment="1">
      <alignment horizontal="center"/>
    </xf>
    <xf numFmtId="10" fontId="105" fillId="5" borderId="0" xfId="5" applyNumberFormat="1" applyFont="1" applyFill="1" applyBorder="1" applyAlignment="1">
      <alignment horizontal="center"/>
    </xf>
    <xf numFmtId="10" fontId="105" fillId="5" borderId="16" xfId="5" applyNumberFormat="1" applyFont="1" applyFill="1" applyBorder="1" applyAlignment="1">
      <alignment horizontal="center"/>
    </xf>
    <xf numFmtId="10" fontId="105" fillId="7" borderId="27" xfId="5" applyNumberFormat="1" applyFont="1" applyFill="1" applyBorder="1" applyAlignment="1">
      <alignment horizontal="center"/>
    </xf>
    <xf numFmtId="10" fontId="105" fillId="7" borderId="0" xfId="5" applyNumberFormat="1" applyFont="1" applyFill="1" applyBorder="1" applyAlignment="1">
      <alignment horizontal="center"/>
    </xf>
    <xf numFmtId="10" fontId="105" fillId="7" borderId="3" xfId="5" applyNumberFormat="1" applyFont="1" applyFill="1" applyBorder="1" applyAlignment="1">
      <alignment horizontal="center"/>
    </xf>
    <xf numFmtId="0" fontId="68" fillId="0" borderId="0" xfId="7" applyAlignment="1">
      <alignment horizontal="center" wrapText="1"/>
    </xf>
    <xf numFmtId="0" fontId="93" fillId="11" borderId="3" xfId="0" applyFont="1" applyFill="1" applyBorder="1" applyAlignment="1">
      <alignment horizontal="center" vertical="center"/>
    </xf>
    <xf numFmtId="0" fontId="37" fillId="11" borderId="0" xfId="0" applyFont="1" applyFill="1" applyAlignment="1">
      <alignment horizontal="center" vertical="center" textRotation="90"/>
    </xf>
    <xf numFmtId="0" fontId="69" fillId="0" borderId="0" xfId="0" applyFont="1"/>
    <xf numFmtId="0" fontId="36" fillId="13" borderId="4" xfId="0" applyFont="1" applyFill="1" applyBorder="1" applyAlignment="1">
      <alignment horizontal="center"/>
    </xf>
    <xf numFmtId="0" fontId="36" fillId="13" borderId="5" xfId="0" applyFont="1" applyFill="1" applyBorder="1" applyAlignment="1">
      <alignment horizontal="center"/>
    </xf>
    <xf numFmtId="0" fontId="36" fillId="13" borderId="6" xfId="0" applyFont="1" applyFill="1" applyBorder="1" applyAlignment="1">
      <alignment horizontal="center"/>
    </xf>
    <xf numFmtId="0" fontId="37" fillId="11" borderId="0" xfId="0" applyFont="1" applyFill="1" applyAlignment="1">
      <alignment horizontal="center"/>
    </xf>
    <xf numFmtId="0" fontId="37" fillId="11" borderId="16" xfId="0" applyFont="1" applyFill="1" applyBorder="1" applyAlignment="1">
      <alignment horizontal="center"/>
    </xf>
    <xf numFmtId="0" fontId="37" fillId="11" borderId="3" xfId="0" applyFont="1" applyFill="1" applyBorder="1" applyAlignment="1">
      <alignment horizontal="center"/>
    </xf>
    <xf numFmtId="0" fontId="93" fillId="11" borderId="21" xfId="0" applyFont="1" applyFill="1" applyBorder="1" applyAlignment="1">
      <alignment horizontal="center" vertical="center"/>
    </xf>
    <xf numFmtId="0" fontId="36" fillId="26" borderId="0" xfId="0" applyFont="1" applyFill="1" applyAlignment="1">
      <alignment horizontal="center" vertical="center" wrapText="1"/>
    </xf>
    <xf numFmtId="0" fontId="36" fillId="25" borderId="0" xfId="0" applyFont="1" applyFill="1" applyAlignment="1">
      <alignment horizontal="center" vertical="center" wrapText="1"/>
    </xf>
    <xf numFmtId="0" fontId="14" fillId="6" borderId="7" xfId="0" applyFont="1" applyFill="1" applyBorder="1" applyAlignment="1">
      <alignment horizontal="center" wrapText="1"/>
    </xf>
    <xf numFmtId="0" fontId="14" fillId="6" borderId="0" xfId="0" applyFont="1" applyFill="1" applyAlignment="1">
      <alignment horizontal="center" wrapText="1"/>
    </xf>
    <xf numFmtId="0" fontId="7" fillId="0" borderId="0" xfId="0" applyFont="1"/>
    <xf numFmtId="0" fontId="23" fillId="11" borderId="30" xfId="0" applyFont="1" applyFill="1" applyBorder="1"/>
    <xf numFmtId="0" fontId="0" fillId="0" borderId="0" xfId="0" applyAlignment="1">
      <alignment horizontal="center"/>
    </xf>
    <xf numFmtId="0" fontId="63" fillId="0" borderId="0" xfId="0" applyFont="1"/>
    <xf numFmtId="0" fontId="64" fillId="0" borderId="0" xfId="0" applyFont="1"/>
    <xf numFmtId="0" fontId="0" fillId="0" borderId="0" xfId="0"/>
    <xf numFmtId="0" fontId="64" fillId="0" borderId="14" xfId="0" applyFont="1" applyBorder="1"/>
    <xf numFmtId="0" fontId="64" fillId="0" borderId="26" xfId="0" applyFont="1" applyBorder="1"/>
    <xf numFmtId="0" fontId="63" fillId="22" borderId="0" xfId="0" applyFont="1" applyFill="1"/>
    <xf numFmtId="0" fontId="0" fillId="22" borderId="0" xfId="0" applyFill="1"/>
    <xf numFmtId="0" fontId="63" fillId="23" borderId="0" xfId="0" applyFont="1" applyFill="1"/>
    <xf numFmtId="0" fontId="0" fillId="23" borderId="0" xfId="0" applyFill="1"/>
    <xf numFmtId="0" fontId="63" fillId="23" borderId="26" xfId="0" applyFont="1" applyFill="1" applyBorder="1"/>
  </cellXfs>
  <cellStyles count="8">
    <cellStyle name="Comma" xfId="2" builtinId="3"/>
    <cellStyle name="Currency" xfId="6" builtinId="4"/>
    <cellStyle name="Hyperlink" xfId="3" builtinId="8"/>
    <cellStyle name="Normal" xfId="0" builtinId="0"/>
    <cellStyle name="Normal 10" xfId="7" xr:uid="{3B822857-0C85-0245-8EC2-5A33D47DDCAC}"/>
    <cellStyle name="Normal 2" xfId="4" xr:uid="{73BDF5C7-F9B3-3849-BCC8-DB7E96859055}"/>
    <cellStyle name="Percent" xfId="1" builtinId="5"/>
    <cellStyle name="Percent 2" xfId="5" xr:uid="{3E10634D-890E-A644-8FAF-E451B0A4F78F}"/>
  </cellStyles>
  <dxfs count="2">
    <dxf>
      <fill>
        <patternFill>
          <bgColor rgb="FFFF0000"/>
        </patternFill>
      </fill>
    </dxf>
    <dxf>
      <fill>
        <patternFill>
          <bgColor rgb="FF92D050"/>
        </patternFill>
      </fill>
    </dxf>
  </dxfs>
  <tableStyles count="0" defaultTableStyle="TableStyleMedium2" defaultPivotStyle="PivotStyleLight16"/>
  <colors>
    <mruColors>
      <color rgb="FFFFF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2025 Sales by Segment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'Sales Charts'!$C$12</c:f>
              <c:strCache>
                <c:ptCount val="1"/>
                <c:pt idx="0">
                  <c:v>2025 Total Sales by Segment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52-EA4C-8C89-5C63639B69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52-EA4C-8C89-5C63639B69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52-EA4C-8C89-5C63639B69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52-EA4C-8C89-5C63639B694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652-EA4C-8C89-5C63639B69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Charts'!$B$13:$B$17</c:f>
              <c:strCache>
                <c:ptCount val="5"/>
                <c:pt idx="0">
                  <c:v>United States</c:v>
                </c:pt>
                <c:pt idx="1">
                  <c:v>Canada</c:v>
                </c:pt>
                <c:pt idx="2">
                  <c:v>United Kingdom</c:v>
                </c:pt>
                <c:pt idx="3">
                  <c:v>France </c:v>
                </c:pt>
                <c:pt idx="4">
                  <c:v>Other</c:v>
                </c:pt>
              </c:strCache>
            </c:strRef>
          </c:cat>
          <c:val>
            <c:numRef>
              <c:f>'Sales Charts'!$C$13:$C$17</c:f>
              <c:numCache>
                <c:formatCode>0.00%</c:formatCode>
                <c:ptCount val="5"/>
                <c:pt idx="0">
                  <c:v>0.81200688214329608</c:v>
                </c:pt>
                <c:pt idx="1">
                  <c:v>7.5125967801401003E-2</c:v>
                </c:pt>
                <c:pt idx="2">
                  <c:v>5.0153619270001226E-2</c:v>
                </c:pt>
                <c:pt idx="3">
                  <c:v>2.1064274302568513E-2</c:v>
                </c:pt>
                <c:pt idx="4">
                  <c:v>4.1649256482733196E-2</c:v>
                </c:pt>
              </c:numCache>
            </c:numRef>
          </c:val>
          <c:extLst>
            <c:ext xmlns:c16="http://schemas.microsoft.com/office/drawing/2014/chart" uri="{C3380CC4-5D6E-409C-BE32-E72D297353CC}">
              <c16:uniqueId val="{00000000-4483-43A8-BDE4-3774A4BA3D7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Sysco Corporation – Principal Product Categories (%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'Graphics for Presentation'!$I$4</c:f>
              <c:strCache>
                <c:ptCount val="1"/>
                <c:pt idx="0">
                  <c:v>Canned and dry products</c:v>
                </c:pt>
              </c:strCache>
            </c:strRef>
          </c:tx>
          <c:spPr>
            <a:solidFill>
              <a:schemeClr val="accent1"/>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Presentation'!$J$4:$N$4</c:f>
              <c:numCache>
                <c:formatCode>0%</c:formatCode>
                <c:ptCount val="5"/>
                <c:pt idx="0">
                  <c:v>0.19</c:v>
                </c:pt>
                <c:pt idx="1">
                  <c:v>0.19</c:v>
                </c:pt>
                <c:pt idx="2">
                  <c:v>0.19</c:v>
                </c:pt>
                <c:pt idx="3">
                  <c:v>0.17</c:v>
                </c:pt>
                <c:pt idx="4">
                  <c:v>0.16</c:v>
                </c:pt>
              </c:numCache>
            </c:numRef>
          </c:val>
          <c:extLst>
            <c:ext xmlns:c16="http://schemas.microsoft.com/office/drawing/2014/chart" uri="{C3380CC4-5D6E-409C-BE32-E72D297353CC}">
              <c16:uniqueId val="{0000000B-EB32-4D1C-B288-8F46B4627AF6}"/>
            </c:ext>
          </c:extLst>
        </c:ser>
        <c:ser>
          <c:idx val="1"/>
          <c:order val="1"/>
          <c:tx>
            <c:strRef>
              <c:f>'Graphics for Presentation'!$I$5</c:f>
              <c:strCache>
                <c:ptCount val="1"/>
                <c:pt idx="0">
                  <c:v>Fresh and frozen meats</c:v>
                </c:pt>
              </c:strCache>
            </c:strRef>
          </c:tx>
          <c:spPr>
            <a:solidFill>
              <a:schemeClr val="accent2"/>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Presentation'!$J$5:$N$5</c:f>
              <c:numCache>
                <c:formatCode>0%</c:formatCode>
                <c:ptCount val="5"/>
                <c:pt idx="0">
                  <c:v>0.18</c:v>
                </c:pt>
                <c:pt idx="1">
                  <c:v>0.18</c:v>
                </c:pt>
                <c:pt idx="2">
                  <c:v>0.18</c:v>
                </c:pt>
                <c:pt idx="3">
                  <c:v>0.19</c:v>
                </c:pt>
                <c:pt idx="4">
                  <c:v>0.19</c:v>
                </c:pt>
              </c:numCache>
            </c:numRef>
          </c:val>
          <c:extLst>
            <c:ext xmlns:c16="http://schemas.microsoft.com/office/drawing/2014/chart" uri="{C3380CC4-5D6E-409C-BE32-E72D297353CC}">
              <c16:uniqueId val="{0000000D-EB32-4D1C-B288-8F46B4627AF6}"/>
            </c:ext>
          </c:extLst>
        </c:ser>
        <c:ser>
          <c:idx val="2"/>
          <c:order val="2"/>
          <c:tx>
            <c:strRef>
              <c:f>'Graphics for Presentation'!$I$6</c:f>
              <c:strCache>
                <c:ptCount val="1"/>
                <c:pt idx="0">
                  <c:v>Frozen fruits, vegetables, bakery and other</c:v>
                </c:pt>
              </c:strCache>
            </c:strRef>
          </c:tx>
          <c:spPr>
            <a:solidFill>
              <a:schemeClr val="accent3"/>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Presentation'!$J$6:$N$6</c:f>
              <c:numCache>
                <c:formatCode>0%</c:formatCode>
                <c:ptCount val="5"/>
                <c:pt idx="0">
                  <c:v>0.15</c:v>
                </c:pt>
                <c:pt idx="1">
                  <c:v>0.15</c:v>
                </c:pt>
                <c:pt idx="2">
                  <c:v>0.15</c:v>
                </c:pt>
                <c:pt idx="3">
                  <c:v>0.14000000000000001</c:v>
                </c:pt>
                <c:pt idx="4">
                  <c:v>0.15</c:v>
                </c:pt>
              </c:numCache>
            </c:numRef>
          </c:val>
          <c:extLst>
            <c:ext xmlns:c16="http://schemas.microsoft.com/office/drawing/2014/chart" uri="{C3380CC4-5D6E-409C-BE32-E72D297353CC}">
              <c16:uniqueId val="{0000000F-EB32-4D1C-B288-8F46B4627AF6}"/>
            </c:ext>
          </c:extLst>
        </c:ser>
        <c:ser>
          <c:idx val="3"/>
          <c:order val="3"/>
          <c:tx>
            <c:strRef>
              <c:f>'Graphics for Presentation'!$I$7</c:f>
              <c:strCache>
                <c:ptCount val="1"/>
                <c:pt idx="0">
                  <c:v>Dairy products</c:v>
                </c:pt>
              </c:strCache>
            </c:strRef>
          </c:tx>
          <c:spPr>
            <a:solidFill>
              <a:schemeClr val="accent4"/>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Presentation'!$J$7:$N$7</c:f>
              <c:numCache>
                <c:formatCode>0%</c:formatCode>
                <c:ptCount val="5"/>
                <c:pt idx="0">
                  <c:v>0.11</c:v>
                </c:pt>
                <c:pt idx="1">
                  <c:v>0.1</c:v>
                </c:pt>
                <c:pt idx="2">
                  <c:v>0.11</c:v>
                </c:pt>
                <c:pt idx="3">
                  <c:v>0.1</c:v>
                </c:pt>
                <c:pt idx="4">
                  <c:v>0.1</c:v>
                </c:pt>
              </c:numCache>
            </c:numRef>
          </c:val>
          <c:extLst>
            <c:ext xmlns:c16="http://schemas.microsoft.com/office/drawing/2014/chart" uri="{C3380CC4-5D6E-409C-BE32-E72D297353CC}">
              <c16:uniqueId val="{00000011-EB32-4D1C-B288-8F46B4627AF6}"/>
            </c:ext>
          </c:extLst>
        </c:ser>
        <c:ser>
          <c:idx val="4"/>
          <c:order val="4"/>
          <c:tx>
            <c:strRef>
              <c:f>'Graphics for Presentation'!$I$8</c:f>
              <c:strCache>
                <c:ptCount val="1"/>
                <c:pt idx="0">
                  <c:v>Poultry</c:v>
                </c:pt>
              </c:strCache>
            </c:strRef>
          </c:tx>
          <c:spPr>
            <a:solidFill>
              <a:schemeClr val="accent5"/>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Presentation'!$J$8:$N$8</c:f>
              <c:numCache>
                <c:formatCode>0%</c:formatCode>
                <c:ptCount val="5"/>
                <c:pt idx="0">
                  <c:v>0.1</c:v>
                </c:pt>
                <c:pt idx="1">
                  <c:v>0.1</c:v>
                </c:pt>
                <c:pt idx="2">
                  <c:v>0.1</c:v>
                </c:pt>
                <c:pt idx="3">
                  <c:v>0.11</c:v>
                </c:pt>
                <c:pt idx="4">
                  <c:v>0.11</c:v>
                </c:pt>
              </c:numCache>
            </c:numRef>
          </c:val>
          <c:extLst>
            <c:ext xmlns:c16="http://schemas.microsoft.com/office/drawing/2014/chart" uri="{C3380CC4-5D6E-409C-BE32-E72D297353CC}">
              <c16:uniqueId val="{00000013-EB32-4D1C-B288-8F46B4627AF6}"/>
            </c:ext>
          </c:extLst>
        </c:ser>
        <c:ser>
          <c:idx val="5"/>
          <c:order val="5"/>
          <c:tx>
            <c:strRef>
              <c:f>'Graphics for Presentation'!$I$9</c:f>
              <c:strCache>
                <c:ptCount val="1"/>
                <c:pt idx="0">
                  <c:v>Fresh produce</c:v>
                </c:pt>
              </c:strCache>
            </c:strRef>
          </c:tx>
          <c:spPr>
            <a:solidFill>
              <a:schemeClr val="accent6"/>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Presentation'!$J$9:$N$9</c:f>
              <c:numCache>
                <c:formatCode>0%</c:formatCode>
                <c:ptCount val="5"/>
                <c:pt idx="0">
                  <c:v>0.08</c:v>
                </c:pt>
                <c:pt idx="1">
                  <c:v>0.09</c:v>
                </c:pt>
                <c:pt idx="2">
                  <c:v>0.09</c:v>
                </c:pt>
                <c:pt idx="3">
                  <c:v>0.08</c:v>
                </c:pt>
                <c:pt idx="4">
                  <c:v>0.08</c:v>
                </c:pt>
              </c:numCache>
            </c:numRef>
          </c:val>
          <c:extLst>
            <c:ext xmlns:c16="http://schemas.microsoft.com/office/drawing/2014/chart" uri="{C3380CC4-5D6E-409C-BE32-E72D297353CC}">
              <c16:uniqueId val="{00000015-EB32-4D1C-B288-8F46B4627AF6}"/>
            </c:ext>
          </c:extLst>
        </c:ser>
        <c:ser>
          <c:idx val="6"/>
          <c:order val="6"/>
          <c:tx>
            <c:strRef>
              <c:f>'Graphics for Presentation'!$I$10</c:f>
              <c:strCache>
                <c:ptCount val="1"/>
                <c:pt idx="0">
                  <c:v>Paper and disposables</c:v>
                </c:pt>
              </c:strCache>
            </c:strRef>
          </c:tx>
          <c:spPr>
            <a:solidFill>
              <a:schemeClr val="accent1">
                <a:lumMod val="60000"/>
              </a:schemeClr>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Presentation'!$J$10:$N$10</c:f>
              <c:numCache>
                <c:formatCode>0%</c:formatCode>
                <c:ptCount val="5"/>
                <c:pt idx="0">
                  <c:v>7.0000000000000007E-2</c:v>
                </c:pt>
                <c:pt idx="1">
                  <c:v>7.0000000000000007E-2</c:v>
                </c:pt>
                <c:pt idx="2">
                  <c:v>7.0000000000000007E-2</c:v>
                </c:pt>
                <c:pt idx="3">
                  <c:v>7.0000000000000007E-2</c:v>
                </c:pt>
                <c:pt idx="4">
                  <c:v>0.08</c:v>
                </c:pt>
              </c:numCache>
            </c:numRef>
          </c:val>
          <c:extLst>
            <c:ext xmlns:c16="http://schemas.microsoft.com/office/drawing/2014/chart" uri="{C3380CC4-5D6E-409C-BE32-E72D297353CC}">
              <c16:uniqueId val="{00000017-EB32-4D1C-B288-8F46B4627AF6}"/>
            </c:ext>
          </c:extLst>
        </c:ser>
        <c:ser>
          <c:idx val="7"/>
          <c:order val="7"/>
          <c:tx>
            <c:strRef>
              <c:f>'Graphics for Presentation'!$I$11</c:f>
              <c:strCache>
                <c:ptCount val="1"/>
                <c:pt idx="0">
                  <c:v>Seafood</c:v>
                </c:pt>
              </c:strCache>
            </c:strRef>
          </c:tx>
          <c:spPr>
            <a:solidFill>
              <a:schemeClr val="accent2">
                <a:lumMod val="60000"/>
              </a:schemeClr>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Presentation'!$J$11:$N$11</c:f>
              <c:numCache>
                <c:formatCode>0%</c:formatCode>
                <c:ptCount val="5"/>
                <c:pt idx="0">
                  <c:v>0.04</c:v>
                </c:pt>
                <c:pt idx="1">
                  <c:v>0.04</c:v>
                </c:pt>
                <c:pt idx="2">
                  <c:v>0.04</c:v>
                </c:pt>
                <c:pt idx="3">
                  <c:v>0.05</c:v>
                </c:pt>
                <c:pt idx="4">
                  <c:v>0.05</c:v>
                </c:pt>
              </c:numCache>
            </c:numRef>
          </c:val>
          <c:extLst>
            <c:ext xmlns:c16="http://schemas.microsoft.com/office/drawing/2014/chart" uri="{C3380CC4-5D6E-409C-BE32-E72D297353CC}">
              <c16:uniqueId val="{00000019-EB32-4D1C-B288-8F46B4627AF6}"/>
            </c:ext>
          </c:extLst>
        </c:ser>
        <c:ser>
          <c:idx val="8"/>
          <c:order val="8"/>
          <c:tx>
            <c:strRef>
              <c:f>'Graphics for Presentation'!$I$12</c:f>
              <c:strCache>
                <c:ptCount val="1"/>
                <c:pt idx="0">
                  <c:v>Beverage products</c:v>
                </c:pt>
              </c:strCache>
            </c:strRef>
          </c:tx>
          <c:spPr>
            <a:solidFill>
              <a:schemeClr val="accent3">
                <a:lumMod val="60000"/>
              </a:schemeClr>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Presentation'!$J$12:$N$12</c:f>
              <c:numCache>
                <c:formatCode>0%</c:formatCode>
                <c:ptCount val="5"/>
                <c:pt idx="0">
                  <c:v>0.03</c:v>
                </c:pt>
                <c:pt idx="1">
                  <c:v>0.04</c:v>
                </c:pt>
                <c:pt idx="2">
                  <c:v>0.03</c:v>
                </c:pt>
                <c:pt idx="3">
                  <c:v>0.03</c:v>
                </c:pt>
                <c:pt idx="4">
                  <c:v>0.03</c:v>
                </c:pt>
              </c:numCache>
            </c:numRef>
          </c:val>
          <c:extLst>
            <c:ext xmlns:c16="http://schemas.microsoft.com/office/drawing/2014/chart" uri="{C3380CC4-5D6E-409C-BE32-E72D297353CC}">
              <c16:uniqueId val="{0000001B-EB32-4D1C-B288-8F46B4627AF6}"/>
            </c:ext>
          </c:extLst>
        </c:ser>
        <c:ser>
          <c:idx val="9"/>
          <c:order val="9"/>
          <c:tx>
            <c:strRef>
              <c:f>'Graphics for Presentation'!$I$13</c:f>
              <c:strCache>
                <c:ptCount val="1"/>
                <c:pt idx="0">
                  <c:v>Equipment and smallwares</c:v>
                </c:pt>
              </c:strCache>
            </c:strRef>
          </c:tx>
          <c:spPr>
            <a:solidFill>
              <a:schemeClr val="accent4">
                <a:lumMod val="60000"/>
              </a:schemeClr>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Presentation'!$J$13:$N$13</c:f>
              <c:numCache>
                <c:formatCode>0%</c:formatCode>
                <c:ptCount val="5"/>
                <c:pt idx="0">
                  <c:v>0.02</c:v>
                </c:pt>
                <c:pt idx="1">
                  <c:v>0.02</c:v>
                </c:pt>
                <c:pt idx="2">
                  <c:v>0.01</c:v>
                </c:pt>
                <c:pt idx="3">
                  <c:v>0.01</c:v>
                </c:pt>
                <c:pt idx="4">
                  <c:v>0</c:v>
                </c:pt>
              </c:numCache>
            </c:numRef>
          </c:val>
          <c:extLst>
            <c:ext xmlns:c16="http://schemas.microsoft.com/office/drawing/2014/chart" uri="{C3380CC4-5D6E-409C-BE32-E72D297353CC}">
              <c16:uniqueId val="{0000001D-EB32-4D1C-B288-8F46B4627AF6}"/>
            </c:ext>
          </c:extLst>
        </c:ser>
        <c:ser>
          <c:idx val="10"/>
          <c:order val="10"/>
          <c:tx>
            <c:strRef>
              <c:f>'Graphics for Presentation'!$I$14</c:f>
              <c:strCache>
                <c:ptCount val="1"/>
                <c:pt idx="0">
                  <c:v>Other</c:v>
                </c:pt>
              </c:strCache>
            </c:strRef>
          </c:tx>
          <c:spPr>
            <a:solidFill>
              <a:schemeClr val="accent5">
                <a:lumMod val="60000"/>
              </a:schemeClr>
            </a:solidFill>
            <a:ln>
              <a:noFill/>
            </a:ln>
            <a:effectLst/>
          </c:spPr>
          <c:invertIfNegative val="0"/>
          <c:cat>
            <c:strRef>
              <c:f>'Graphics for Presentation'!$J$2:$N$3</c:f>
              <c:strCache>
                <c:ptCount val="5"/>
                <c:pt idx="0">
                  <c:v>FY2025</c:v>
                </c:pt>
                <c:pt idx="1">
                  <c:v>FY2024</c:v>
                </c:pt>
                <c:pt idx="2">
                  <c:v>FY2023</c:v>
                </c:pt>
                <c:pt idx="3">
                  <c:v>FY2022</c:v>
                </c:pt>
                <c:pt idx="4">
                  <c:v>FY2021</c:v>
                </c:pt>
              </c:strCache>
            </c:strRef>
          </c:cat>
          <c:val>
            <c:numRef>
              <c:f>'Graphics for Presentation'!$J$14:$N$14</c:f>
              <c:numCache>
                <c:formatCode>0%</c:formatCode>
                <c:ptCount val="5"/>
                <c:pt idx="0">
                  <c:v>0.03</c:v>
                </c:pt>
                <c:pt idx="1">
                  <c:v>0.02</c:v>
                </c:pt>
                <c:pt idx="2">
                  <c:v>0.03</c:v>
                </c:pt>
                <c:pt idx="3">
                  <c:v>0.05</c:v>
                </c:pt>
                <c:pt idx="4">
                  <c:v>0.05</c:v>
                </c:pt>
              </c:numCache>
            </c:numRef>
          </c:val>
          <c:extLst>
            <c:ext xmlns:c16="http://schemas.microsoft.com/office/drawing/2014/chart" uri="{C3380CC4-5D6E-409C-BE32-E72D297353CC}">
              <c16:uniqueId val="{0000001F-EB32-4D1C-B288-8F46B4627AF6}"/>
            </c:ext>
          </c:extLst>
        </c:ser>
        <c:dLbls>
          <c:showLegendKey val="0"/>
          <c:showVal val="0"/>
          <c:showCatName val="0"/>
          <c:showSerName val="0"/>
          <c:showPercent val="0"/>
          <c:showBubbleSize val="0"/>
        </c:dLbls>
        <c:gapWidth val="219"/>
        <c:overlap val="-27"/>
        <c:axId val="816071687"/>
        <c:axId val="816099335"/>
      </c:barChart>
      <c:catAx>
        <c:axId val="816071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099335"/>
        <c:crosses val="autoZero"/>
        <c:auto val="1"/>
        <c:lblAlgn val="ctr"/>
        <c:lblOffset val="100"/>
        <c:noMultiLvlLbl val="0"/>
      </c:catAx>
      <c:valAx>
        <c:axId val="816099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071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Sysco Corporation – Sales by Type of Customer (% of Sales)</a:t>
            </a:r>
          </a:p>
        </c:rich>
      </c:tx>
      <c:layout>
        <c:manualLayout>
          <c:xMode val="edge"/>
          <c:yMode val="edge"/>
          <c:x val="0.1485623003194888"/>
          <c:y val="3.2100846549110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'Graphics for Presentation'!$A$35</c:f>
              <c:strCache>
                <c:ptCount val="1"/>
                <c:pt idx="0">
                  <c:v>Restaurants</c:v>
                </c:pt>
              </c:strCache>
            </c:strRef>
          </c:tx>
          <c:spPr>
            <a:solidFill>
              <a:schemeClr val="accent1"/>
            </a:solidFill>
            <a:ln>
              <a:noFill/>
            </a:ln>
            <a:effectLst/>
          </c:spPr>
          <c:invertIfNegative val="0"/>
          <c:cat>
            <c:strRef>
              <c:f>'Graphics for Presentation'!$B$33:$F$34</c:f>
              <c:strCache>
                <c:ptCount val="5"/>
                <c:pt idx="0">
                  <c:v>FY2025</c:v>
                </c:pt>
                <c:pt idx="1">
                  <c:v>FY2024</c:v>
                </c:pt>
                <c:pt idx="2">
                  <c:v>FY2023</c:v>
                </c:pt>
                <c:pt idx="3">
                  <c:v>FY2022</c:v>
                </c:pt>
                <c:pt idx="4">
                  <c:v>FY2021</c:v>
                </c:pt>
              </c:strCache>
            </c:strRef>
          </c:cat>
          <c:val>
            <c:numRef>
              <c:f>'Graphics for Presentation'!$B$35:$F$35</c:f>
              <c:numCache>
                <c:formatCode>0%</c:formatCode>
                <c:ptCount val="5"/>
                <c:pt idx="0">
                  <c:v>0.6</c:v>
                </c:pt>
                <c:pt idx="1">
                  <c:v>0.62</c:v>
                </c:pt>
                <c:pt idx="2">
                  <c:v>0.62</c:v>
                </c:pt>
                <c:pt idx="3">
                  <c:v>0.63</c:v>
                </c:pt>
                <c:pt idx="4">
                  <c:v>0.66</c:v>
                </c:pt>
              </c:numCache>
            </c:numRef>
          </c:val>
          <c:extLst>
            <c:ext xmlns:c16="http://schemas.microsoft.com/office/drawing/2014/chart" uri="{C3380CC4-5D6E-409C-BE32-E72D297353CC}">
              <c16:uniqueId val="{00000000-3B51-4882-9DF7-0CA5C252D6A4}"/>
            </c:ext>
          </c:extLst>
        </c:ser>
        <c:ser>
          <c:idx val="1"/>
          <c:order val="1"/>
          <c:tx>
            <c:strRef>
              <c:f>'Graphics for Presentation'!$A$36</c:f>
              <c:strCache>
                <c:ptCount val="1"/>
                <c:pt idx="0">
                  <c:v>Education, government</c:v>
                </c:pt>
              </c:strCache>
            </c:strRef>
          </c:tx>
          <c:spPr>
            <a:solidFill>
              <a:schemeClr val="accent2"/>
            </a:solidFill>
            <a:ln>
              <a:noFill/>
            </a:ln>
            <a:effectLst/>
          </c:spPr>
          <c:invertIfNegative val="0"/>
          <c:cat>
            <c:strRef>
              <c:f>'Graphics for Presentation'!$B$33:$F$34</c:f>
              <c:strCache>
                <c:ptCount val="5"/>
                <c:pt idx="0">
                  <c:v>FY2025</c:v>
                </c:pt>
                <c:pt idx="1">
                  <c:v>FY2024</c:v>
                </c:pt>
                <c:pt idx="2">
                  <c:v>FY2023</c:v>
                </c:pt>
                <c:pt idx="3">
                  <c:v>FY2022</c:v>
                </c:pt>
                <c:pt idx="4">
                  <c:v>FY2021</c:v>
                </c:pt>
              </c:strCache>
            </c:strRef>
          </c:cat>
          <c:val>
            <c:numRef>
              <c:f>'Graphics for Presentation'!$B$36:$F$36</c:f>
              <c:numCache>
                <c:formatCode>0%</c:formatCode>
                <c:ptCount val="5"/>
                <c:pt idx="0">
                  <c:v>0.08</c:v>
                </c:pt>
                <c:pt idx="1">
                  <c:v>7.0000000000000007E-2</c:v>
                </c:pt>
                <c:pt idx="2">
                  <c:v>0.08</c:v>
                </c:pt>
                <c:pt idx="3">
                  <c:v>0.08</c:v>
                </c:pt>
                <c:pt idx="4">
                  <c:v>0.09</c:v>
                </c:pt>
              </c:numCache>
            </c:numRef>
          </c:val>
          <c:extLst>
            <c:ext xmlns:c16="http://schemas.microsoft.com/office/drawing/2014/chart" uri="{C3380CC4-5D6E-409C-BE32-E72D297353CC}">
              <c16:uniqueId val="{00000002-3B51-4882-9DF7-0CA5C252D6A4}"/>
            </c:ext>
          </c:extLst>
        </c:ser>
        <c:ser>
          <c:idx val="2"/>
          <c:order val="2"/>
          <c:tx>
            <c:strRef>
              <c:f>'Graphics for Presentation'!$A$37</c:f>
              <c:strCache>
                <c:ptCount val="1"/>
                <c:pt idx="0">
                  <c:v>Healthcare</c:v>
                </c:pt>
              </c:strCache>
            </c:strRef>
          </c:tx>
          <c:spPr>
            <a:solidFill>
              <a:schemeClr val="accent3"/>
            </a:solidFill>
            <a:ln>
              <a:noFill/>
            </a:ln>
            <a:effectLst/>
          </c:spPr>
          <c:invertIfNegative val="0"/>
          <c:cat>
            <c:strRef>
              <c:f>'Graphics for Presentation'!$B$33:$F$34</c:f>
              <c:strCache>
                <c:ptCount val="5"/>
                <c:pt idx="0">
                  <c:v>FY2025</c:v>
                </c:pt>
                <c:pt idx="1">
                  <c:v>FY2024</c:v>
                </c:pt>
                <c:pt idx="2">
                  <c:v>FY2023</c:v>
                </c:pt>
                <c:pt idx="3">
                  <c:v>FY2022</c:v>
                </c:pt>
                <c:pt idx="4">
                  <c:v>FY2021</c:v>
                </c:pt>
              </c:strCache>
            </c:strRef>
          </c:cat>
          <c:val>
            <c:numRef>
              <c:f>'Graphics for Presentation'!$B$37:$F$37</c:f>
              <c:numCache>
                <c:formatCode>0%</c:formatCode>
                <c:ptCount val="5"/>
                <c:pt idx="0">
                  <c:v>0.08</c:v>
                </c:pt>
                <c:pt idx="1">
                  <c:v>7.0000000000000007E-2</c:v>
                </c:pt>
                <c:pt idx="2">
                  <c:v>7.0000000000000007E-2</c:v>
                </c:pt>
                <c:pt idx="3">
                  <c:v>0.08</c:v>
                </c:pt>
                <c:pt idx="4">
                  <c:v>0.06</c:v>
                </c:pt>
              </c:numCache>
            </c:numRef>
          </c:val>
          <c:extLst>
            <c:ext xmlns:c16="http://schemas.microsoft.com/office/drawing/2014/chart" uri="{C3380CC4-5D6E-409C-BE32-E72D297353CC}">
              <c16:uniqueId val="{00000004-3B51-4882-9DF7-0CA5C252D6A4}"/>
            </c:ext>
          </c:extLst>
        </c:ser>
        <c:ser>
          <c:idx val="3"/>
          <c:order val="3"/>
          <c:tx>
            <c:strRef>
              <c:f>'Graphics for Presentation'!$A$38</c:f>
              <c:strCache>
                <c:ptCount val="1"/>
                <c:pt idx="0">
                  <c:v>Travel and leisure</c:v>
                </c:pt>
              </c:strCache>
            </c:strRef>
          </c:tx>
          <c:spPr>
            <a:solidFill>
              <a:schemeClr val="accent4"/>
            </a:solidFill>
            <a:ln>
              <a:noFill/>
            </a:ln>
            <a:effectLst/>
          </c:spPr>
          <c:invertIfNegative val="0"/>
          <c:cat>
            <c:strRef>
              <c:f>'Graphics for Presentation'!$B$33:$F$34</c:f>
              <c:strCache>
                <c:ptCount val="5"/>
                <c:pt idx="0">
                  <c:v>FY2025</c:v>
                </c:pt>
                <c:pt idx="1">
                  <c:v>FY2024</c:v>
                </c:pt>
                <c:pt idx="2">
                  <c:v>FY2023</c:v>
                </c:pt>
                <c:pt idx="3">
                  <c:v>FY2022</c:v>
                </c:pt>
                <c:pt idx="4">
                  <c:v>FY2021</c:v>
                </c:pt>
              </c:strCache>
            </c:strRef>
          </c:cat>
          <c:val>
            <c:numRef>
              <c:f>'Graphics for Presentation'!$B$38:$F$38</c:f>
              <c:numCache>
                <c:formatCode>0%</c:formatCode>
                <c:ptCount val="5"/>
                <c:pt idx="0">
                  <c:v>7.0000000000000007E-2</c:v>
                </c:pt>
                <c:pt idx="1">
                  <c:v>0.06</c:v>
                </c:pt>
                <c:pt idx="2">
                  <c:v>0.08</c:v>
                </c:pt>
                <c:pt idx="3">
                  <c:v>7.0000000000000007E-2</c:v>
                </c:pt>
                <c:pt idx="4">
                  <c:v>0.05</c:v>
                </c:pt>
              </c:numCache>
            </c:numRef>
          </c:val>
          <c:extLst>
            <c:ext xmlns:c16="http://schemas.microsoft.com/office/drawing/2014/chart" uri="{C3380CC4-5D6E-409C-BE32-E72D297353CC}">
              <c16:uniqueId val="{00000006-3B51-4882-9DF7-0CA5C252D6A4}"/>
            </c:ext>
          </c:extLst>
        </c:ser>
        <c:ser>
          <c:idx val="4"/>
          <c:order val="4"/>
          <c:tx>
            <c:strRef>
              <c:f>'Graphics for Presentation'!$A$39</c:f>
              <c:strCache>
                <c:ptCount val="1"/>
                <c:pt idx="0">
                  <c:v>Other</c:v>
                </c:pt>
              </c:strCache>
            </c:strRef>
          </c:tx>
          <c:spPr>
            <a:solidFill>
              <a:schemeClr val="accent5"/>
            </a:solidFill>
            <a:ln>
              <a:noFill/>
            </a:ln>
            <a:effectLst/>
          </c:spPr>
          <c:invertIfNegative val="0"/>
          <c:cat>
            <c:strRef>
              <c:f>'Graphics for Presentation'!$B$33:$F$34</c:f>
              <c:strCache>
                <c:ptCount val="5"/>
                <c:pt idx="0">
                  <c:v>FY2025</c:v>
                </c:pt>
                <c:pt idx="1">
                  <c:v>FY2024</c:v>
                </c:pt>
                <c:pt idx="2">
                  <c:v>FY2023</c:v>
                </c:pt>
                <c:pt idx="3">
                  <c:v>FY2022</c:v>
                </c:pt>
                <c:pt idx="4">
                  <c:v>FY2021</c:v>
                </c:pt>
              </c:strCache>
            </c:strRef>
          </c:cat>
          <c:val>
            <c:numRef>
              <c:f>'Graphics for Presentation'!$B$39:$F$39</c:f>
              <c:numCache>
                <c:formatCode>0%</c:formatCode>
                <c:ptCount val="5"/>
                <c:pt idx="0">
                  <c:v>0.17</c:v>
                </c:pt>
                <c:pt idx="1">
                  <c:v>0.18</c:v>
                </c:pt>
                <c:pt idx="2">
                  <c:v>0.15</c:v>
                </c:pt>
                <c:pt idx="3">
                  <c:v>0.14000000000000001</c:v>
                </c:pt>
                <c:pt idx="4">
                  <c:v>0.14000000000000001</c:v>
                </c:pt>
              </c:numCache>
            </c:numRef>
          </c:val>
          <c:extLst>
            <c:ext xmlns:c16="http://schemas.microsoft.com/office/drawing/2014/chart" uri="{C3380CC4-5D6E-409C-BE32-E72D297353CC}">
              <c16:uniqueId val="{00000008-3B51-4882-9DF7-0CA5C252D6A4}"/>
            </c:ext>
          </c:extLst>
        </c:ser>
        <c:dLbls>
          <c:showLegendKey val="0"/>
          <c:showVal val="0"/>
          <c:showCatName val="0"/>
          <c:showSerName val="0"/>
          <c:showPercent val="0"/>
          <c:showBubbleSize val="0"/>
        </c:dLbls>
        <c:gapWidth val="219"/>
        <c:overlap val="-27"/>
        <c:axId val="144934920"/>
        <c:axId val="1553178631"/>
      </c:barChart>
      <c:catAx>
        <c:axId val="144934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178631"/>
        <c:crosses val="autoZero"/>
        <c:auto val="1"/>
        <c:lblAlgn val="ctr"/>
        <c:lblOffset val="100"/>
        <c:noMultiLvlLbl val="0"/>
      </c:catAx>
      <c:valAx>
        <c:axId val="1553178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34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2098969</xdr:colOff>
      <xdr:row>48</xdr:row>
      <xdr:rowOff>49026</xdr:rowOff>
    </xdr:from>
    <xdr:to>
      <xdr:col>8</xdr:col>
      <xdr:colOff>87559</xdr:colOff>
      <xdr:row>64</xdr:row>
      <xdr:rowOff>38331</xdr:rowOff>
    </xdr:to>
    <xdr:pic>
      <xdr:nvPicPr>
        <xdr:cNvPr id="6" name="Picture 2">
          <a:extLst>
            <a:ext uri="{FF2B5EF4-FFF2-40B4-BE49-F238E27FC236}">
              <a16:creationId xmlns:a16="http://schemas.microsoft.com/office/drawing/2014/main" id="{8CF6861C-440C-F86C-72D0-128B4A37516B}"/>
            </a:ext>
          </a:extLst>
        </xdr:cNvPr>
        <xdr:cNvPicPr>
          <a:picLocks noChangeAspect="1"/>
        </xdr:cNvPicPr>
      </xdr:nvPicPr>
      <xdr:blipFill>
        <a:blip xmlns:r="http://schemas.openxmlformats.org/officeDocument/2006/relationships" r:embed="rId1"/>
        <a:stretch>
          <a:fillRect/>
        </a:stretch>
      </xdr:blipFill>
      <xdr:spPr>
        <a:xfrm>
          <a:off x="2098969" y="9843420"/>
          <a:ext cx="6493742" cy="33759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609600</xdr:colOff>
      <xdr:row>10</xdr:row>
      <xdr:rowOff>114300</xdr:rowOff>
    </xdr:from>
    <xdr:to>
      <xdr:col>10</xdr:col>
      <xdr:colOff>428625</xdr:colOff>
      <xdr:row>24</xdr:row>
      <xdr:rowOff>57150</xdr:rowOff>
    </xdr:to>
    <xdr:graphicFrame macro="">
      <xdr:nvGraphicFramePr>
        <xdr:cNvPr id="11" name="Chart 2">
          <a:extLst>
            <a:ext uri="{FF2B5EF4-FFF2-40B4-BE49-F238E27FC236}">
              <a16:creationId xmlns:a16="http://schemas.microsoft.com/office/drawing/2014/main" id="{D2372F15-4AF3-1FD2-092C-0C8CB9453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425450</xdr:colOff>
      <xdr:row>14</xdr:row>
      <xdr:rowOff>190500</xdr:rowOff>
    </xdr:from>
    <xdr:to>
      <xdr:col>16</xdr:col>
      <xdr:colOff>552450</xdr:colOff>
      <xdr:row>38</xdr:row>
      <xdr:rowOff>130175</xdr:rowOff>
    </xdr:to>
    <xdr:graphicFrame macro="">
      <xdr:nvGraphicFramePr>
        <xdr:cNvPr id="7" name="Chart 6">
          <a:extLst>
            <a:ext uri="{FF2B5EF4-FFF2-40B4-BE49-F238E27FC236}">
              <a16:creationId xmlns:a16="http://schemas.microsoft.com/office/drawing/2014/main" id="{EE02D547-8CDA-45E5-C193-64D614726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590550</xdr:colOff>
      <xdr:row>41</xdr:row>
      <xdr:rowOff>120650</xdr:rowOff>
    </xdr:from>
    <xdr:to>
      <xdr:col>12</xdr:col>
      <xdr:colOff>247650</xdr:colOff>
      <xdr:row>58</xdr:row>
      <xdr:rowOff>101600</xdr:rowOff>
    </xdr:to>
    <xdr:graphicFrame macro="">
      <xdr:nvGraphicFramePr>
        <xdr:cNvPr id="8" name="Chart 7">
          <a:extLst>
            <a:ext uri="{FF2B5EF4-FFF2-40B4-BE49-F238E27FC236}">
              <a16:creationId xmlns:a16="http://schemas.microsoft.com/office/drawing/2014/main" id="{E7DECCF5-BA36-B6F5-1EC8-3580DFDD7D11}"/>
            </a:ext>
            <a:ext uri="{147F2762-F138-4A5C-976F-8EAC2B608ADB}">
              <a16:predDERef xmlns:a16="http://schemas.microsoft.com/office/drawing/2014/main" pred="{EE02D547-8CDA-45E5-C193-64D614726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ilwlu-my.sharepoint.com/Users/l20-us-gbrockenbrough23-mba/Downloads/AAPL%202019_Base%20Case%20(2).xlsx" TargetMode="External"/><Relationship Id="rId1" Type="http://schemas.openxmlformats.org/officeDocument/2006/relationships/externalLinkPath" Target="https://mailwlu-my.sharepoint.com/Users/l20-us-gbrockenbrough23-mba/Downloads/AAPL%202019_Base%20Case%20(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mailwlu-my.sharepoint.com/Users/rosebeall/Desktop/Stock%20pitch/AAPL%202019_Base%20Case%20(2).xlsx" TargetMode="External"/><Relationship Id="rId1" Type="http://schemas.openxmlformats.org/officeDocument/2006/relationships/externalLinkPath" Target="https://mailwlu-my.sharepoint.com/Users/rosebeall/Desktop/Stock%20pitch/AAPL%202019_Base%20Case%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duction"/>
      <sheetName val="DCF"/>
      <sheetName val="Multiples"/>
      <sheetName val="WACC"/>
      <sheetName val="Supplementary--&gt;"/>
      <sheetName val="Historical Financials"/>
      <sheetName val="Sales Breakdown"/>
      <sheetName val="Sales Charts"/>
      <sheetName val="AAPL Bonds"/>
      <sheetName val="IS"/>
      <sheetName val="dep"/>
    </sheetNames>
    <sheetDataSet>
      <sheetData sheetId="0"/>
      <sheetData sheetId="1">
        <row r="26">
          <cell r="D26">
            <v>0.23</v>
          </cell>
        </row>
      </sheetData>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ACC"/>
      <sheetName val="Multiples"/>
      <sheetName val="Introduction"/>
      <sheetName val="DCF"/>
      <sheetName val="Supplementary--&gt;"/>
      <sheetName val="Historical Financials"/>
      <sheetName val="Sales Breakdown"/>
      <sheetName val="Sales Charts"/>
      <sheetName val="AAPL Bonds"/>
      <sheetName val="IS"/>
      <sheetName val="dep"/>
    </sheetNames>
    <sheetDataSet>
      <sheetData sheetId="0">
        <row r="19">
          <cell r="O19">
            <v>8.4290130395641275E-2</v>
          </cell>
        </row>
      </sheetData>
      <sheetData sheetId="1">
        <row r="20">
          <cell r="B20" t="str">
            <v>Median</v>
          </cell>
        </row>
      </sheetData>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98F1C-83C4-DA41-8A52-2FA06F8A1F35}">
  <dimension ref="A2:U134"/>
  <sheetViews>
    <sheetView topLeftCell="A80" zoomScale="75" zoomScaleNormal="133" workbookViewId="0">
      <selection activeCell="M44" sqref="M44"/>
    </sheetView>
  </sheetViews>
  <sheetFormatPr baseColWidth="10" defaultColWidth="11" defaultRowHeight="16"/>
  <cols>
    <col min="1" max="1" width="34.83203125" customWidth="1"/>
    <col min="2" max="2" width="48.33203125" customWidth="1"/>
  </cols>
  <sheetData>
    <row r="2" spans="1:12" ht="17" thickBot="1">
      <c r="A2" s="75"/>
      <c r="C2" s="76"/>
      <c r="D2" s="76"/>
      <c r="E2" s="76"/>
      <c r="F2" s="76"/>
      <c r="G2" s="76"/>
      <c r="I2" s="75"/>
      <c r="J2" s="77" t="s">
        <v>147</v>
      </c>
      <c r="K2" s="78" t="s">
        <v>148</v>
      </c>
      <c r="L2" s="75"/>
    </row>
    <row r="3" spans="1:12">
      <c r="A3" s="75"/>
      <c r="B3" s="649" t="s">
        <v>149</v>
      </c>
      <c r="C3" s="650"/>
      <c r="D3" s="650"/>
      <c r="E3" s="650"/>
      <c r="F3" s="650"/>
      <c r="G3" s="650"/>
      <c r="H3" s="650"/>
      <c r="I3" s="650"/>
      <c r="J3" s="650"/>
      <c r="K3" s="651"/>
      <c r="L3" s="75"/>
    </row>
    <row r="4" spans="1:12">
      <c r="A4" s="75"/>
      <c r="B4" s="223" t="s">
        <v>150</v>
      </c>
      <c r="C4" s="489"/>
      <c r="D4" s="652" t="s">
        <v>151</v>
      </c>
      <c r="E4" s="652"/>
      <c r="F4" s="653"/>
      <c r="G4" s="652" t="s">
        <v>152</v>
      </c>
      <c r="H4" s="652"/>
      <c r="I4" s="652"/>
      <c r="J4" s="652"/>
      <c r="K4" s="654"/>
      <c r="L4" s="75"/>
    </row>
    <row r="5" spans="1:12">
      <c r="A5" s="75"/>
      <c r="B5" s="223" t="s">
        <v>153</v>
      </c>
      <c r="C5" s="224" t="str">
        <f>'Income Statement'!F8</f>
        <v>JUN '22</v>
      </c>
      <c r="D5" s="224" t="str">
        <f>'Income Statement'!E8</f>
        <v>JUN '23</v>
      </c>
      <c r="E5" s="224" t="str">
        <f>'Income Statement'!D8</f>
        <v>JUN '24</v>
      </c>
      <c r="F5" s="79" t="str">
        <f>'Income Statement'!C8</f>
        <v>JUN '25</v>
      </c>
      <c r="G5" s="224" t="s">
        <v>154</v>
      </c>
      <c r="H5" s="224" t="s">
        <v>155</v>
      </c>
      <c r="I5" s="224" t="s">
        <v>156</v>
      </c>
      <c r="J5" s="224" t="s">
        <v>157</v>
      </c>
      <c r="K5" s="225" t="s">
        <v>158</v>
      </c>
      <c r="L5" s="75"/>
    </row>
    <row r="6" spans="1:12">
      <c r="A6" s="75"/>
      <c r="B6" s="226" t="s">
        <v>122</v>
      </c>
      <c r="C6" s="227">
        <f>'All financial statements 21-25'!C10</f>
        <v>68636.145999999993</v>
      </c>
      <c r="D6" s="227">
        <f>'All financial statements 21-25'!D10</f>
        <v>76324.675000000003</v>
      </c>
      <c r="E6" s="227">
        <f>'All financial statements 21-25'!E10</f>
        <v>78844</v>
      </c>
      <c r="F6" s="227">
        <f>'All financial statements 21-25'!F10</f>
        <v>81370</v>
      </c>
      <c r="G6" s="490">
        <f>G61</f>
        <v>84624.8</v>
      </c>
      <c r="H6" s="490">
        <f>H61</f>
        <v>96432.915999999997</v>
      </c>
      <c r="I6" s="490">
        <f>I61</f>
        <v>108412.39721999998</v>
      </c>
      <c r="J6" s="490">
        <f>J61</f>
        <v>113290.95509489998</v>
      </c>
      <c r="K6" s="404">
        <f>K61</f>
        <v>118389.04807417047</v>
      </c>
      <c r="L6" s="75"/>
    </row>
    <row r="7" spans="1:12" ht="18">
      <c r="A7" s="75"/>
      <c r="B7" s="226" t="s">
        <v>159</v>
      </c>
      <c r="C7" s="491">
        <f>-'All financial statements 21-25'!C11</f>
        <v>-56421.622000000003</v>
      </c>
      <c r="D7" s="491">
        <f>-'All financial statements 21-25'!D11</f>
        <v>-62474.678</v>
      </c>
      <c r="E7" s="491">
        <f>-'All financial statements 21-25'!E11</f>
        <v>-65092</v>
      </c>
      <c r="F7" s="491">
        <f>-'All financial statements 21-25'!F11</f>
        <v>-67332</v>
      </c>
      <c r="G7" s="492">
        <f>G66</f>
        <v>-69680.841670343987</v>
      </c>
      <c r="H7" s="492">
        <f>H66</f>
        <v>-79303.753410413745</v>
      </c>
      <c r="I7" s="492">
        <f>I66</f>
        <v>-89017.76885486595</v>
      </c>
      <c r="J7" s="492">
        <f>J66</f>
        <v>-93034.818453334912</v>
      </c>
      <c r="K7" s="405">
        <f>K66</f>
        <v>-97232.63528373497</v>
      </c>
      <c r="L7" s="75"/>
    </row>
    <row r="8" spans="1:12">
      <c r="A8" s="75"/>
      <c r="B8" s="226" t="s">
        <v>160</v>
      </c>
      <c r="C8" s="493">
        <f>C7+C6</f>
        <v>12214.52399999999</v>
      </c>
      <c r="D8" s="493">
        <f>D7+D6</f>
        <v>13849.997000000003</v>
      </c>
      <c r="E8" s="493">
        <f t="shared" ref="E8" si="0">E7+E6</f>
        <v>13752</v>
      </c>
      <c r="F8" s="80">
        <f>F7+F6</f>
        <v>14038</v>
      </c>
      <c r="G8" s="490">
        <f>G7+G6</f>
        <v>14943.958329656016</v>
      </c>
      <c r="H8" s="490">
        <f t="shared" ref="H8:K8" si="1">H7+H6</f>
        <v>17129.162589586253</v>
      </c>
      <c r="I8" s="490">
        <f t="shared" si="1"/>
        <v>19394.628365134035</v>
      </c>
      <c r="J8" s="490">
        <f t="shared" si="1"/>
        <v>20256.13664156507</v>
      </c>
      <c r="K8" s="404">
        <f t="shared" si="1"/>
        <v>21156.412790435497</v>
      </c>
      <c r="L8" s="75"/>
    </row>
    <row r="9" spans="1:12">
      <c r="A9" s="75"/>
      <c r="B9" s="143" t="s">
        <v>161</v>
      </c>
      <c r="C9" s="494"/>
      <c r="D9" s="494"/>
      <c r="E9" s="494"/>
      <c r="F9" s="494"/>
      <c r="G9" s="490">
        <f>F57</f>
        <v>3.203794835371121E-2</v>
      </c>
      <c r="H9" s="490">
        <f>G57</f>
        <v>0.04</v>
      </c>
      <c r="I9" s="490">
        <f>H57</f>
        <v>4.4999999999999998E-2</v>
      </c>
      <c r="J9" s="490">
        <f>I57</f>
        <v>4.4999999999999998E-2</v>
      </c>
      <c r="K9" s="404">
        <f>J57</f>
        <v>4.4999999999999998E-2</v>
      </c>
      <c r="L9" s="75"/>
    </row>
    <row r="10" spans="1:12" ht="18">
      <c r="A10" s="75"/>
      <c r="B10" s="143" t="s">
        <v>162</v>
      </c>
      <c r="C10" s="491">
        <f>-'All financial statements 21-25'!C17</f>
        <v>-9784.7250000000004</v>
      </c>
      <c r="D10" s="491">
        <f>-'All financial statements 21-25'!D17</f>
        <v>-10708.566000000001</v>
      </c>
      <c r="E10" s="491">
        <f>-'All financial statements 21-25'!E17</f>
        <v>-10270</v>
      </c>
      <c r="F10" s="491">
        <f>-'All financial statements 21-25'!F17</f>
        <v>-10526</v>
      </c>
      <c r="G10" s="492">
        <f>G69</f>
        <v>-11001.224</v>
      </c>
      <c r="H10" s="492">
        <f>H69</f>
        <v>-12536.27908</v>
      </c>
      <c r="I10" s="492">
        <f>I69</f>
        <v>-14093.611638599998</v>
      </c>
      <c r="J10" s="492">
        <f>J69</f>
        <v>-14727.824162336998</v>
      </c>
      <c r="K10" s="405">
        <f>K69</f>
        <v>-15390.576249642161</v>
      </c>
      <c r="L10" s="75"/>
    </row>
    <row r="11" spans="1:12">
      <c r="A11" s="75"/>
      <c r="B11" s="226" t="s">
        <v>163</v>
      </c>
      <c r="C11" s="495">
        <f t="shared" ref="C11:K11" si="2">C8+C9+C10</f>
        <v>2429.79899999999</v>
      </c>
      <c r="D11" s="495">
        <f t="shared" si="2"/>
        <v>3141.4310000000023</v>
      </c>
      <c r="E11" s="495">
        <f t="shared" si="2"/>
        <v>3482</v>
      </c>
      <c r="F11" s="81">
        <f t="shared" si="2"/>
        <v>3512</v>
      </c>
      <c r="G11" s="228">
        <f t="shared" si="2"/>
        <v>3942.7663676043685</v>
      </c>
      <c r="H11" s="228">
        <f t="shared" si="2"/>
        <v>4592.9235095862532</v>
      </c>
      <c r="I11" s="228">
        <f t="shared" si="2"/>
        <v>5301.0617265340352</v>
      </c>
      <c r="J11" s="228">
        <f t="shared" si="2"/>
        <v>5528.3574792280706</v>
      </c>
      <c r="K11" s="406">
        <f t="shared" si="2"/>
        <v>5765.8815407933344</v>
      </c>
      <c r="L11" s="75"/>
    </row>
    <row r="12" spans="1:12" ht="18">
      <c r="A12" s="75"/>
      <c r="B12" s="226" t="s">
        <v>164</v>
      </c>
      <c r="C12" s="491">
        <f>-'All financial statements 21-25'!C130</f>
        <v>-880.93299999999999</v>
      </c>
      <c r="D12" s="491">
        <f>-'All financial statements 21-25'!D130</f>
        <v>-888.67700000000002</v>
      </c>
      <c r="E12" s="491">
        <f>-'All financial statements 21-25'!E130</f>
        <v>-997</v>
      </c>
      <c r="F12" s="491">
        <f>-'All financial statements 21-25'!F130</f>
        <v>-1086</v>
      </c>
      <c r="G12" s="492">
        <f>-G94</f>
        <v>-1060.9547501250918</v>
      </c>
      <c r="H12" s="492">
        <f>-H94</f>
        <v>-1208.9950026305994</v>
      </c>
      <c r="I12" s="492">
        <f>-I94</f>
        <v>-1359.1836885051102</v>
      </c>
      <c r="J12" s="492">
        <f>-J94</f>
        <v>-1420.3469544878403</v>
      </c>
      <c r="K12" s="405">
        <f>-K94</f>
        <v>-1484.262567439793</v>
      </c>
      <c r="L12" s="75"/>
    </row>
    <row r="13" spans="1:12" ht="17" thickBot="1">
      <c r="A13" s="75"/>
      <c r="B13" s="229" t="s">
        <v>165</v>
      </c>
      <c r="C13" s="82">
        <f>C11+C12</f>
        <v>1548.86599999999</v>
      </c>
      <c r="D13" s="82">
        <f>D11+D12</f>
        <v>2252.7540000000022</v>
      </c>
      <c r="E13" s="82">
        <f t="shared" ref="E13:F13" si="3">E11+E12</f>
        <v>2485</v>
      </c>
      <c r="F13" s="83">
        <f t="shared" si="3"/>
        <v>2426</v>
      </c>
      <c r="G13" s="230">
        <f>G11+G12</f>
        <v>2881.8116174792767</v>
      </c>
      <c r="H13" s="230">
        <f>H11+H12</f>
        <v>3383.9285069556536</v>
      </c>
      <c r="I13" s="230">
        <f t="shared" ref="I13:K13" si="4">I11+I12</f>
        <v>3941.8780380289249</v>
      </c>
      <c r="J13" s="230">
        <f t="shared" si="4"/>
        <v>4108.0105247402298</v>
      </c>
      <c r="K13" s="407">
        <f t="shared" si="4"/>
        <v>4281.6189733535412</v>
      </c>
      <c r="L13" s="75"/>
    </row>
    <row r="14" spans="1:12" ht="17" thickBot="1">
      <c r="A14" s="75"/>
      <c r="B14" s="84" t="s">
        <v>166</v>
      </c>
      <c r="C14" s="85">
        <f t="shared" ref="C14:K14" si="5">C13/C6</f>
        <v>2.25663311573466E-2</v>
      </c>
      <c r="D14" s="85">
        <f t="shared" si="5"/>
        <v>2.9515409007637466E-2</v>
      </c>
      <c r="E14" s="85">
        <f t="shared" si="5"/>
        <v>3.1517934148445031E-2</v>
      </c>
      <c r="F14" s="86">
        <f t="shared" si="5"/>
        <v>2.9814427921838516E-2</v>
      </c>
      <c r="G14" s="85">
        <f t="shared" si="5"/>
        <v>3.40539843814021E-2</v>
      </c>
      <c r="H14" s="85">
        <f t="shared" si="5"/>
        <v>3.5091010904986571E-2</v>
      </c>
      <c r="I14" s="85">
        <f t="shared" si="5"/>
        <v>3.6360030209734398E-2</v>
      </c>
      <c r="J14" s="85">
        <f t="shared" si="5"/>
        <v>3.6260710498018919E-2</v>
      </c>
      <c r="K14" s="408">
        <f t="shared" si="5"/>
        <v>3.6165667711688304E-2</v>
      </c>
      <c r="L14" s="336"/>
    </row>
    <row r="15" spans="1:12">
      <c r="A15" s="75"/>
      <c r="B15" s="229" t="s">
        <v>167</v>
      </c>
      <c r="C15" s="231">
        <f>C13*(1-'All financial statements 21-25'!C33)</f>
        <v>1204.821437638426</v>
      </c>
      <c r="D15" s="231">
        <f>D13*(1-'All financial statements 21-25'!D33)</f>
        <v>1744.8728628576321</v>
      </c>
      <c r="E15" s="231">
        <f>E13*(1-'All financial statements 21-25'!E33)</f>
        <v>1894.0253411306044</v>
      </c>
      <c r="F15" s="231">
        <f>F13*(1-'All financial statements 21-25'!F33)</f>
        <v>1836.326293995859</v>
      </c>
      <c r="G15" s="230">
        <f>G13*(1-24%)</f>
        <v>2190.1768292842503</v>
      </c>
      <c r="H15" s="230">
        <f t="shared" ref="H15:K15" si="6">H13*(1-24%)</f>
        <v>2571.7856652862965</v>
      </c>
      <c r="I15" s="230">
        <f t="shared" si="6"/>
        <v>2995.8273089019831</v>
      </c>
      <c r="J15" s="230">
        <f t="shared" si="6"/>
        <v>3122.0879988025745</v>
      </c>
      <c r="K15" s="407">
        <f t="shared" si="6"/>
        <v>3254.0304197486912</v>
      </c>
      <c r="L15" s="75" t="s">
        <v>168</v>
      </c>
    </row>
    <row r="16" spans="1:12">
      <c r="A16" s="75"/>
      <c r="B16" s="229" t="s">
        <v>169</v>
      </c>
      <c r="C16" s="82">
        <f>-C12</f>
        <v>880.93299999999999</v>
      </c>
      <c r="D16" s="82">
        <f>-D12</f>
        <v>888.67700000000002</v>
      </c>
      <c r="E16" s="82">
        <f t="shared" ref="E16:F16" si="7">-E12</f>
        <v>997</v>
      </c>
      <c r="F16" s="82">
        <f t="shared" si="7"/>
        <v>1086</v>
      </c>
      <c r="G16" s="230">
        <f>-G12</f>
        <v>1060.9547501250918</v>
      </c>
      <c r="H16" s="230">
        <f t="shared" ref="H16:K16" si="8">-H12</f>
        <v>1208.9950026305994</v>
      </c>
      <c r="I16" s="230">
        <f t="shared" si="8"/>
        <v>1359.1836885051102</v>
      </c>
      <c r="J16" s="230">
        <f t="shared" si="8"/>
        <v>1420.3469544878403</v>
      </c>
      <c r="K16" s="407">
        <f t="shared" si="8"/>
        <v>1484.262567439793</v>
      </c>
      <c r="L16" s="75"/>
    </row>
    <row r="17" spans="1:21">
      <c r="A17" s="75"/>
      <c r="B17" s="229" t="s">
        <v>170</v>
      </c>
      <c r="C17" s="82">
        <f>'All financial statements 21-25'!C144</f>
        <v>-632.80200000000002</v>
      </c>
      <c r="D17" s="82">
        <f>'All financial statements 21-25'!D144</f>
        <v>-793.32500000000005</v>
      </c>
      <c r="E17" s="82">
        <f>'All financial statements 21-25'!E144</f>
        <v>-832</v>
      </c>
      <c r="F17" s="82">
        <f>'All financial statements 21-25'!F144</f>
        <v>-906</v>
      </c>
      <c r="G17" s="230">
        <f>G91</f>
        <v>-904.9463277872436</v>
      </c>
      <c r="H17" s="230">
        <f>H91</f>
        <v>-1031.217955162266</v>
      </c>
      <c r="I17" s="230">
        <f>I91</f>
        <v>-1159.3220988510573</v>
      </c>
      <c r="J17" s="230">
        <f>J91</f>
        <v>-1211.4915932993549</v>
      </c>
      <c r="K17" s="407">
        <f>K91</f>
        <v>-1266.0087149978258</v>
      </c>
      <c r="L17" s="75"/>
    </row>
    <row r="18" spans="1:21">
      <c r="A18" s="75"/>
      <c r="B18" s="229" t="s">
        <v>628</v>
      </c>
      <c r="C18" s="82">
        <f>'All financial statements 21-25'!C146</f>
        <v>-1281.1369999999999</v>
      </c>
      <c r="D18" s="82">
        <f>'All financial statements 21-25'!D146</f>
        <v>-37.384</v>
      </c>
      <c r="E18" s="82">
        <f>'All financial statements 21-25'!E146</f>
        <v>-1210</v>
      </c>
      <c r="F18" s="82">
        <f>'All financial statements 21-25'!F146</f>
        <v>-40</v>
      </c>
      <c r="G18" s="230">
        <v>0</v>
      </c>
      <c r="H18" s="230">
        <v>-1000</v>
      </c>
      <c r="I18" s="230">
        <v>-40</v>
      </c>
      <c r="J18" s="230">
        <v>-1000</v>
      </c>
      <c r="K18" s="407">
        <v>-40</v>
      </c>
      <c r="L18" s="75" t="s">
        <v>642</v>
      </c>
    </row>
    <row r="19" spans="1:21" ht="18">
      <c r="A19" s="75"/>
      <c r="B19" s="229" t="s">
        <v>171</v>
      </c>
      <c r="C19" s="87">
        <f>-'All financial statements 21-25'!C135</f>
        <v>615.99800000000005</v>
      </c>
      <c r="D19" s="87">
        <f>-'All financial statements 21-25'!D135</f>
        <v>234.53399999999999</v>
      </c>
      <c r="E19" s="87">
        <f>-'All financial statements 21-25'!E135</f>
        <v>158</v>
      </c>
      <c r="F19" s="87">
        <f>-'All financial statements 21-25'!F135</f>
        <v>576</v>
      </c>
      <c r="G19" s="428">
        <f>-G88</f>
        <v>-122.09898767998635</v>
      </c>
      <c r="H19" s="428">
        <f>-H88</f>
        <v>-311.87439282583614</v>
      </c>
      <c r="I19" s="428">
        <f>-I88</f>
        <v>-316.40046827588822</v>
      </c>
      <c r="J19" s="428">
        <f>-J88</f>
        <v>-128.85182319517696</v>
      </c>
      <c r="K19" s="429">
        <f>-K88</f>
        <v>-134.65015523895886</v>
      </c>
      <c r="L19" s="75"/>
      <c r="M19" s="403"/>
    </row>
    <row r="20" spans="1:21" ht="17" thickBot="1">
      <c r="B20" s="409" t="s">
        <v>172</v>
      </c>
      <c r="C20" s="232">
        <f t="shared" ref="C20:J20" si="9">SUM(C15:C19)</f>
        <v>787.81343763842574</v>
      </c>
      <c r="D20" s="232">
        <f t="shared" si="9"/>
        <v>2037.3748628576318</v>
      </c>
      <c r="E20" s="232">
        <f t="shared" si="9"/>
        <v>1007.0253411306044</v>
      </c>
      <c r="F20" s="233">
        <f>SUM(F15:F19)</f>
        <v>2552.326293995859</v>
      </c>
      <c r="G20" s="234">
        <f t="shared" si="9"/>
        <v>2224.0862639421121</v>
      </c>
      <c r="H20" s="234">
        <f t="shared" si="9"/>
        <v>1437.6883199287943</v>
      </c>
      <c r="I20" s="234">
        <f t="shared" si="9"/>
        <v>2839.2884302801472</v>
      </c>
      <c r="J20" s="234">
        <f t="shared" si="9"/>
        <v>2202.0915367958823</v>
      </c>
      <c r="K20" s="410">
        <f>SUM(K15:K19)</f>
        <v>3297.6341169517</v>
      </c>
      <c r="L20" s="75"/>
    </row>
    <row r="21" spans="1:21">
      <c r="A21" s="326"/>
      <c r="I21" s="435"/>
      <c r="L21" s="75"/>
    </row>
    <row r="22" spans="1:21">
      <c r="A22" s="326"/>
      <c r="B22" s="326"/>
      <c r="C22" s="326"/>
      <c r="D22" s="327"/>
      <c r="E22" s="327"/>
      <c r="F22" s="328">
        <v>45809</v>
      </c>
      <c r="G22" s="224">
        <v>46174</v>
      </c>
      <c r="H22" s="224">
        <v>46539</v>
      </c>
      <c r="I22" s="224">
        <v>46905</v>
      </c>
      <c r="J22" s="224">
        <v>47270</v>
      </c>
      <c r="K22" s="224">
        <v>47635</v>
      </c>
      <c r="L22" s="75"/>
      <c r="M22" s="75"/>
      <c r="N22" s="75"/>
      <c r="O22" s="75"/>
      <c r="P22" s="89"/>
      <c r="Q22" s="89"/>
      <c r="R22" s="89"/>
      <c r="S22" s="89"/>
      <c r="T22" s="89"/>
      <c r="U22" s="89"/>
    </row>
    <row r="23" spans="1:21" ht="16" customHeight="1">
      <c r="A23" s="326"/>
      <c r="B23" s="326" t="s">
        <v>173</v>
      </c>
      <c r="C23" s="326"/>
      <c r="D23" s="327"/>
      <c r="E23" s="327"/>
      <c r="F23" s="329">
        <v>0</v>
      </c>
      <c r="G23" s="330">
        <f>G20*(12-MONTH(F22))/12</f>
        <v>1112.043131971056</v>
      </c>
      <c r="H23" s="330">
        <f>H20</f>
        <v>1437.6883199287943</v>
      </c>
      <c r="I23" s="330">
        <f t="shared" ref="I23:J23" si="10">I20</f>
        <v>2839.2884302801472</v>
      </c>
      <c r="J23" s="330">
        <f t="shared" si="10"/>
        <v>2202.0915367958823</v>
      </c>
      <c r="K23" s="330">
        <f>K20+L32</f>
        <v>79767.352677611008</v>
      </c>
      <c r="L23" s="75"/>
      <c r="M23" s="75"/>
      <c r="N23" s="75"/>
      <c r="O23" s="75"/>
      <c r="P23" s="89"/>
      <c r="Q23" s="89"/>
      <c r="R23" s="89"/>
      <c r="S23" s="89"/>
      <c r="T23" s="89"/>
      <c r="U23" s="89"/>
    </row>
    <row r="24" spans="1:21">
      <c r="A24" s="75"/>
      <c r="B24" s="326" t="s">
        <v>174</v>
      </c>
      <c r="C24" s="326"/>
      <c r="D24" s="327"/>
      <c r="E24" s="327"/>
      <c r="F24" s="329"/>
      <c r="G24" s="330">
        <f>G23</f>
        <v>1112.043131971056</v>
      </c>
      <c r="H24" s="330">
        <f t="shared" ref="H24:J24" si="11">H20</f>
        <v>1437.6883199287943</v>
      </c>
      <c r="I24" s="330">
        <f t="shared" si="11"/>
        <v>2839.2884302801472</v>
      </c>
      <c r="J24" s="330">
        <f t="shared" si="11"/>
        <v>2202.0915367958823</v>
      </c>
      <c r="K24" s="330">
        <f>K20+L38</f>
        <v>67159.61552173215</v>
      </c>
      <c r="L24" s="75"/>
      <c r="M24" s="75"/>
      <c r="N24" s="75"/>
      <c r="O24" s="75"/>
      <c r="P24" s="89"/>
      <c r="Q24" s="89"/>
      <c r="R24" s="89"/>
      <c r="S24" s="89"/>
      <c r="T24" s="89"/>
      <c r="U24" s="89"/>
    </row>
    <row r="25" spans="1:21">
      <c r="A25" s="326"/>
      <c r="B25" s="75"/>
      <c r="C25" s="75"/>
      <c r="D25" s="331"/>
      <c r="E25" s="331"/>
      <c r="F25" s="331"/>
      <c r="G25" s="332"/>
      <c r="H25" s="332"/>
      <c r="I25" s="332"/>
      <c r="J25" s="332"/>
      <c r="K25" s="332"/>
      <c r="L25" s="75"/>
      <c r="M25" s="75"/>
      <c r="N25" s="75"/>
      <c r="O25" s="75"/>
      <c r="P25" s="89"/>
      <c r="Q25" s="89"/>
      <c r="R25" s="89"/>
      <c r="S25" s="89"/>
      <c r="T25" s="89"/>
      <c r="U25" s="89"/>
    </row>
    <row r="26" spans="1:21" ht="17" thickBot="1">
      <c r="A26" s="326"/>
      <c r="B26" s="326"/>
      <c r="C26" s="333"/>
      <c r="D26" s="333"/>
      <c r="E26" s="333"/>
      <c r="F26" s="333"/>
      <c r="G26" s="334"/>
      <c r="H26" s="334"/>
      <c r="I26" s="334"/>
      <c r="J26" s="334"/>
      <c r="K26" s="334"/>
      <c r="L26" s="75"/>
      <c r="M26" s="75"/>
      <c r="N26" s="75"/>
      <c r="O26" s="75"/>
      <c r="P26" s="89"/>
      <c r="Q26" s="89"/>
      <c r="R26" s="89"/>
      <c r="S26" s="89"/>
      <c r="T26" s="89"/>
      <c r="U26" s="89"/>
    </row>
    <row r="27" spans="1:21" ht="17" customHeight="1" thickBot="1">
      <c r="A27" s="326"/>
      <c r="B27" s="371" t="s">
        <v>89</v>
      </c>
      <c r="C27" s="335">
        <f>WACC!AI18</f>
        <v>6.1899619277321002E-2</v>
      </c>
      <c r="D27" s="336"/>
      <c r="E27" s="336"/>
      <c r="G27" s="337"/>
      <c r="H27" s="337"/>
      <c r="I27" s="337"/>
      <c r="J27" s="337"/>
      <c r="K27" s="337"/>
      <c r="O27" s="75"/>
      <c r="P27" s="89"/>
      <c r="Q27" s="89"/>
      <c r="R27" s="89"/>
      <c r="S27" s="89"/>
      <c r="T27" s="89"/>
      <c r="U27" s="89"/>
    </row>
    <row r="28" spans="1:21" ht="16" customHeight="1" thickBot="1">
      <c r="A28" s="339"/>
      <c r="B28" s="371" t="s">
        <v>175</v>
      </c>
      <c r="C28" s="372">
        <v>0.24</v>
      </c>
      <c r="D28" s="336" t="s">
        <v>176</v>
      </c>
      <c r="E28" s="336"/>
      <c r="F28" s="336"/>
      <c r="G28" s="338"/>
      <c r="H28" s="336"/>
      <c r="I28" s="336"/>
      <c r="J28" s="657" t="s">
        <v>177</v>
      </c>
      <c r="K28" s="657"/>
      <c r="L28" s="657"/>
      <c r="M28" s="75"/>
      <c r="N28" s="75"/>
      <c r="O28" s="75"/>
      <c r="P28" s="89"/>
      <c r="Q28" s="89"/>
      <c r="R28" s="89"/>
      <c r="S28" s="89"/>
      <c r="T28" s="89"/>
      <c r="U28" s="89"/>
    </row>
    <row r="29" spans="1:21">
      <c r="A29" s="75"/>
      <c r="B29" s="339"/>
      <c r="C29" s="246"/>
      <c r="D29" s="246"/>
      <c r="E29" s="340"/>
      <c r="F29" s="341" t="s">
        <v>178</v>
      </c>
      <c r="G29" s="342"/>
      <c r="H29" s="343" t="s">
        <v>179</v>
      </c>
      <c r="I29" s="344"/>
      <c r="J29" s="657"/>
      <c r="K29" s="657"/>
      <c r="L29" s="657"/>
      <c r="M29" s="75"/>
      <c r="N29" s="75"/>
      <c r="O29" s="75"/>
      <c r="P29" s="89"/>
      <c r="Q29" s="89"/>
      <c r="R29" s="89"/>
      <c r="S29" s="89"/>
      <c r="T29" s="89"/>
      <c r="U29" s="89"/>
    </row>
    <row r="30" spans="1:21" ht="16" customHeight="1">
      <c r="A30" s="75"/>
      <c r="B30" s="75"/>
      <c r="C30" s="326" t="s">
        <v>180</v>
      </c>
      <c r="D30" s="75"/>
      <c r="E30" s="75"/>
      <c r="F30" s="345">
        <f>XNPV(C27,F23:K23,F22:K22)</f>
        <v>65490.315703457891</v>
      </c>
      <c r="G30" s="332"/>
      <c r="H30" s="345">
        <f>XNPV(C27,G24:K24,G22:K22)</f>
        <v>59630.531439860613</v>
      </c>
      <c r="I30" s="326"/>
      <c r="J30" s="370" t="s">
        <v>181</v>
      </c>
      <c r="K30" s="370"/>
      <c r="L30" s="346">
        <v>1.7999999999999999E-2</v>
      </c>
      <c r="M30" s="75" t="s">
        <v>635</v>
      </c>
      <c r="N30" s="75"/>
      <c r="O30" s="75"/>
      <c r="P30" s="89"/>
      <c r="Q30" s="89"/>
      <c r="R30" s="89"/>
      <c r="S30" s="89"/>
      <c r="T30" s="89"/>
      <c r="U30" s="89"/>
    </row>
    <row r="31" spans="1:21">
      <c r="A31" s="75"/>
      <c r="B31" s="75"/>
      <c r="C31" s="326"/>
      <c r="D31" s="75"/>
      <c r="E31" s="75"/>
      <c r="F31" s="347"/>
      <c r="G31" s="332"/>
      <c r="H31" s="347"/>
      <c r="I31" s="326"/>
      <c r="J31" s="370" t="s">
        <v>182</v>
      </c>
      <c r="K31" s="370"/>
      <c r="L31" s="348">
        <f>K20*(1+L30)</f>
        <v>3356.9915310568308</v>
      </c>
      <c r="M31" s="75"/>
      <c r="N31" s="75"/>
      <c r="O31" s="75"/>
      <c r="P31" s="89"/>
      <c r="Q31" s="89"/>
      <c r="R31" s="89"/>
      <c r="S31" s="89"/>
      <c r="T31" s="89"/>
      <c r="U31" s="89"/>
    </row>
    <row r="32" spans="1:21">
      <c r="A32" s="75"/>
      <c r="B32" s="75"/>
      <c r="C32" s="326" t="s">
        <v>183</v>
      </c>
      <c r="D32" s="75"/>
      <c r="E32" s="75"/>
      <c r="F32" s="349">
        <f>F30</f>
        <v>65490.315703457891</v>
      </c>
      <c r="G32" s="332"/>
      <c r="H32" s="345">
        <f>H30</f>
        <v>59630.531439860613</v>
      </c>
      <c r="I32" s="326"/>
      <c r="J32" s="370" t="s">
        <v>184</v>
      </c>
      <c r="K32" s="370"/>
      <c r="L32" s="350">
        <f>L31/(C27-L30)</f>
        <v>76469.718560659312</v>
      </c>
      <c r="M32" s="75"/>
      <c r="N32" s="75"/>
      <c r="O32" s="75"/>
      <c r="P32" s="89"/>
      <c r="Q32" s="89"/>
      <c r="R32" s="89"/>
      <c r="S32" s="89"/>
      <c r="T32" s="89"/>
      <c r="U32" s="89"/>
    </row>
    <row r="33" spans="1:21" ht="16" customHeight="1">
      <c r="A33" s="75"/>
      <c r="B33" s="75"/>
      <c r="C33" s="75" t="s">
        <v>185</v>
      </c>
      <c r="D33" s="75"/>
      <c r="E33" s="75"/>
      <c r="F33" s="351">
        <f>'All financial statements 21-25'!F60</f>
        <v>1071</v>
      </c>
      <c r="G33" s="332"/>
      <c r="H33" s="351">
        <f>F33</f>
        <v>1071</v>
      </c>
      <c r="I33" s="75"/>
      <c r="M33" s="75"/>
      <c r="N33" s="75"/>
      <c r="O33" s="75"/>
      <c r="P33" s="89"/>
      <c r="Q33" s="89"/>
      <c r="R33" s="89"/>
      <c r="S33" s="89"/>
      <c r="T33" s="89"/>
      <c r="U33" s="89"/>
    </row>
    <row r="34" spans="1:21" ht="16" customHeight="1">
      <c r="A34" s="75"/>
      <c r="B34" s="75"/>
      <c r="C34" s="75" t="s">
        <v>102</v>
      </c>
      <c r="D34" s="75"/>
      <c r="E34" s="75"/>
      <c r="F34" s="351">
        <f>'All financial statements 21-25'!F92+'All financial statements 21-25'!F99</f>
        <v>14494</v>
      </c>
      <c r="G34" s="332"/>
      <c r="H34" s="351">
        <f>F34</f>
        <v>14494</v>
      </c>
      <c r="I34" s="75"/>
      <c r="J34" s="656" t="s">
        <v>186</v>
      </c>
      <c r="K34" s="656"/>
      <c r="L34" s="656"/>
      <c r="M34" s="75"/>
      <c r="N34" s="75"/>
      <c r="O34" s="75"/>
      <c r="P34" s="89"/>
      <c r="Q34" s="89"/>
      <c r="R34" s="89"/>
      <c r="S34" s="89"/>
      <c r="T34" s="89"/>
      <c r="U34" s="89"/>
    </row>
    <row r="35" spans="1:21">
      <c r="A35" s="75"/>
      <c r="B35" s="75"/>
      <c r="C35" s="352" t="s">
        <v>187</v>
      </c>
      <c r="D35" s="352"/>
      <c r="E35" s="352"/>
      <c r="F35" s="353">
        <f>F34-F33</f>
        <v>13423</v>
      </c>
      <c r="G35" s="354"/>
      <c r="H35" s="353">
        <f>F35</f>
        <v>13423</v>
      </c>
      <c r="I35" s="75"/>
      <c r="J35" s="656"/>
      <c r="K35" s="656"/>
      <c r="L35" s="656"/>
      <c r="M35" s="75"/>
      <c r="N35" s="75"/>
      <c r="O35" s="75"/>
      <c r="P35" s="89"/>
      <c r="Q35" s="89"/>
      <c r="R35" s="89"/>
      <c r="S35" s="89"/>
      <c r="T35" s="89"/>
      <c r="U35" s="89"/>
    </row>
    <row r="36" spans="1:21">
      <c r="A36" s="75"/>
      <c r="B36" s="75"/>
      <c r="C36" s="75"/>
      <c r="D36" s="75"/>
      <c r="E36" s="75"/>
      <c r="F36" s="75"/>
      <c r="G36" s="75"/>
      <c r="H36" s="75"/>
      <c r="I36" s="75"/>
      <c r="J36" s="370" t="s">
        <v>188</v>
      </c>
      <c r="K36" s="370"/>
      <c r="L36" s="350">
        <f>K11*(1+L30)</f>
        <v>5869.6674085276145</v>
      </c>
      <c r="M36" s="75"/>
      <c r="N36" s="75"/>
      <c r="O36" s="75"/>
      <c r="P36" s="156"/>
      <c r="Q36" s="156"/>
      <c r="R36" s="156"/>
      <c r="S36" s="156"/>
      <c r="T36" s="156"/>
      <c r="U36" s="156"/>
    </row>
    <row r="37" spans="1:21" ht="16" customHeight="1">
      <c r="A37" s="75"/>
      <c r="B37" s="75"/>
      <c r="C37" s="326" t="s">
        <v>189</v>
      </c>
      <c r="D37" s="228"/>
      <c r="E37" s="75"/>
      <c r="F37" s="345">
        <f>F32-F35</f>
        <v>52067.315703457891</v>
      </c>
      <c r="G37" s="332"/>
      <c r="H37" s="345">
        <f>H32-H35</f>
        <v>46207.531439860613</v>
      </c>
      <c r="I37" s="75"/>
      <c r="J37" s="370" t="s">
        <v>190</v>
      </c>
      <c r="K37" s="370"/>
      <c r="L37" s="373">
        <v>10.88</v>
      </c>
      <c r="M37" s="75" t="s">
        <v>643</v>
      </c>
      <c r="N37" s="75"/>
      <c r="O37" s="75"/>
      <c r="P37" s="89"/>
      <c r="Q37" s="89"/>
      <c r="R37" s="89"/>
      <c r="S37" s="89"/>
      <c r="T37" s="89"/>
      <c r="U37" s="89"/>
    </row>
    <row r="38" spans="1:21">
      <c r="A38" s="75"/>
      <c r="B38" s="75"/>
      <c r="C38" s="75"/>
      <c r="D38" s="75"/>
      <c r="E38" s="75"/>
      <c r="F38" s="75"/>
      <c r="G38" s="75"/>
      <c r="H38" s="75"/>
      <c r="I38" s="326"/>
      <c r="J38" s="370" t="s">
        <v>184</v>
      </c>
      <c r="K38" s="370"/>
      <c r="L38" s="350">
        <f>L36*L37</f>
        <v>63861.981404780454</v>
      </c>
      <c r="M38" s="75"/>
      <c r="N38" s="75"/>
      <c r="O38" s="75"/>
      <c r="P38" s="89"/>
      <c r="Q38" s="89"/>
      <c r="R38" s="89"/>
      <c r="S38" s="89"/>
      <c r="T38" s="89"/>
      <c r="U38" s="89"/>
    </row>
    <row r="39" spans="1:21">
      <c r="A39" s="75"/>
      <c r="B39" s="75"/>
      <c r="C39" s="75" t="s">
        <v>191</v>
      </c>
      <c r="D39" s="75"/>
      <c r="E39" s="75"/>
      <c r="F39" s="351">
        <v>478.93</v>
      </c>
      <c r="G39" s="332"/>
      <c r="H39" s="351">
        <f>F39</f>
        <v>478.93</v>
      </c>
      <c r="I39" s="75" t="s">
        <v>192</v>
      </c>
      <c r="L39" s="75"/>
      <c r="M39" s="75"/>
      <c r="N39" s="75"/>
      <c r="O39" s="75"/>
      <c r="P39" s="89"/>
      <c r="Q39" s="89"/>
      <c r="R39" s="89"/>
      <c r="S39" s="89"/>
      <c r="T39" s="89"/>
      <c r="U39" s="89"/>
    </row>
    <row r="40" spans="1:21">
      <c r="A40" s="75"/>
      <c r="B40" s="75"/>
      <c r="C40" s="355" t="s">
        <v>193</v>
      </c>
      <c r="D40" s="356"/>
      <c r="E40" s="75"/>
      <c r="F40" s="357">
        <f>F37/F39</f>
        <v>108.71592028784559</v>
      </c>
      <c r="G40" s="332"/>
      <c r="H40" s="357">
        <f>H37/H39</f>
        <v>96.480762198777725</v>
      </c>
      <c r="I40" s="326"/>
      <c r="J40" s="75"/>
      <c r="K40" s="75"/>
      <c r="L40" s="75"/>
      <c r="M40" s="75"/>
      <c r="N40" s="75"/>
      <c r="O40" s="75"/>
      <c r="P40" s="89"/>
      <c r="Q40" s="89"/>
      <c r="R40" s="89"/>
      <c r="S40" s="89"/>
      <c r="T40" s="89"/>
      <c r="U40" s="89"/>
    </row>
    <row r="41" spans="1:21">
      <c r="A41" s="75"/>
      <c r="B41" s="75"/>
      <c r="C41" s="75"/>
      <c r="D41" s="75"/>
      <c r="E41" s="350"/>
      <c r="F41" s="358"/>
      <c r="G41" s="75"/>
      <c r="H41" s="75"/>
      <c r="I41" s="75"/>
      <c r="J41" s="75"/>
      <c r="K41" s="75"/>
      <c r="L41" s="75"/>
      <c r="M41" s="75"/>
      <c r="N41" s="75"/>
      <c r="O41" s="75"/>
      <c r="P41" s="89"/>
      <c r="Q41" s="89"/>
      <c r="R41" s="89"/>
      <c r="S41" s="89"/>
      <c r="T41" s="89"/>
      <c r="U41" s="89"/>
    </row>
    <row r="42" spans="1:21" ht="16" customHeight="1">
      <c r="A42" s="75"/>
      <c r="B42" s="75"/>
      <c r="C42" s="75" t="s">
        <v>194</v>
      </c>
      <c r="D42" s="336"/>
      <c r="E42" s="350"/>
      <c r="F42" s="380">
        <v>73.239999999999995</v>
      </c>
      <c r="G42" s="75"/>
      <c r="H42" s="75"/>
      <c r="I42" s="359"/>
      <c r="J42" s="75"/>
      <c r="K42" s="75"/>
      <c r="L42" s="75"/>
      <c r="M42" s="75"/>
      <c r="N42" s="75"/>
      <c r="O42" s="75"/>
      <c r="P42" s="156"/>
      <c r="Q42" s="156"/>
      <c r="R42" s="156"/>
      <c r="S42" s="156"/>
      <c r="T42" s="89"/>
      <c r="U42" s="89"/>
    </row>
    <row r="43" spans="1:21">
      <c r="A43" s="75"/>
      <c r="B43" s="75"/>
      <c r="C43" s="326" t="s">
        <v>195</v>
      </c>
      <c r="D43" s="75"/>
      <c r="E43" s="75"/>
      <c r="F43" s="360" t="str">
        <f>IF(F40&gt;(1.25*F42),"Strong Buy",IF(AND(F40&gt;(F42*1.1),F40&lt;(F42*1.25)),"Buy",IF(AND(F40&gt;0.9*F42,F40&lt;1.1*F40),"HOLD","SELL")))</f>
        <v>Strong Buy</v>
      </c>
      <c r="G43" s="75"/>
      <c r="H43" s="75"/>
      <c r="I43" s="75"/>
      <c r="J43" s="75"/>
      <c r="K43" s="75"/>
      <c r="L43" s="75"/>
      <c r="M43" s="75"/>
      <c r="N43" s="75"/>
      <c r="O43" s="75"/>
      <c r="P43" s="156"/>
      <c r="Q43" s="156"/>
      <c r="R43" s="156"/>
      <c r="S43" s="156"/>
      <c r="T43" s="89"/>
      <c r="U43" s="89"/>
    </row>
    <row r="44" spans="1:21">
      <c r="A44" s="75"/>
      <c r="B44" s="75"/>
      <c r="C44" s="75"/>
      <c r="D44" s="75"/>
      <c r="E44" s="75"/>
      <c r="F44" s="75"/>
      <c r="G44" s="75"/>
      <c r="H44" s="75"/>
      <c r="I44" s="75"/>
      <c r="J44" s="75"/>
      <c r="K44" s="75"/>
      <c r="L44" s="75"/>
      <c r="M44" s="75"/>
      <c r="N44" s="75"/>
      <c r="O44" s="75"/>
      <c r="P44" s="156"/>
      <c r="Q44" s="156"/>
      <c r="R44" s="156"/>
      <c r="S44" s="156"/>
      <c r="T44" s="89"/>
      <c r="U44" s="89"/>
    </row>
    <row r="45" spans="1:21">
      <c r="A45" s="75"/>
      <c r="B45" s="75"/>
      <c r="C45" s="75"/>
      <c r="D45" s="75"/>
      <c r="E45" s="246" t="s">
        <v>43</v>
      </c>
      <c r="F45" s="246"/>
      <c r="G45" s="246"/>
      <c r="H45" s="246"/>
      <c r="I45" s="246"/>
      <c r="J45" s="75"/>
      <c r="K45" s="75"/>
      <c r="L45" s="75"/>
      <c r="M45" s="75"/>
      <c r="N45" s="75"/>
      <c r="O45" s="75"/>
      <c r="P45" s="156"/>
      <c r="Q45" s="156"/>
      <c r="R45" s="156"/>
      <c r="S45" s="156"/>
      <c r="T45" s="89"/>
      <c r="U45" s="89"/>
    </row>
    <row r="46" spans="1:21" ht="16" customHeight="1">
      <c r="A46" s="75"/>
      <c r="B46" s="75"/>
      <c r="C46" s="75"/>
      <c r="D46" s="430">
        <f>F40</f>
        <v>108.71592028784559</v>
      </c>
      <c r="E46" s="431">
        <v>0.01</v>
      </c>
      <c r="F46" s="431">
        <f>E46+0.5%</f>
        <v>1.4999999999999999E-2</v>
      </c>
      <c r="G46" s="431">
        <f t="shared" ref="G46:I46" si="12">F46+0.5%</f>
        <v>0.02</v>
      </c>
      <c r="H46" s="431">
        <f t="shared" si="12"/>
        <v>2.5000000000000001E-2</v>
      </c>
      <c r="I46" s="431">
        <f t="shared" si="12"/>
        <v>3.0000000000000002E-2</v>
      </c>
      <c r="J46" s="75"/>
      <c r="K46" s="75"/>
      <c r="L46" s="75"/>
      <c r="M46" s="75"/>
      <c r="N46" s="75"/>
      <c r="O46" s="75"/>
      <c r="P46" s="156"/>
      <c r="Q46" s="89"/>
      <c r="R46" s="89"/>
      <c r="S46" s="89"/>
      <c r="T46" s="89"/>
      <c r="U46" s="89"/>
    </row>
    <row r="47" spans="1:21">
      <c r="A47" s="75"/>
      <c r="B47" s="75"/>
      <c r="C47" s="647" t="s">
        <v>89</v>
      </c>
      <c r="D47" s="431">
        <v>5.5E-2</v>
      </c>
      <c r="E47" s="432">
        <f t="dataTable" ref="E47:I52" dt2D="1" dtr="1" r1="L30" r2="C27"/>
        <v>109.1233979816747</v>
      </c>
      <c r="F47" s="361">
        <v>124.56009502920062</v>
      </c>
      <c r="G47" s="361">
        <v>144.40727694744825</v>
      </c>
      <c r="H47" s="361">
        <v>170.87018617177839</v>
      </c>
      <c r="I47" s="361">
        <v>207.91825908584067</v>
      </c>
      <c r="J47" s="75"/>
      <c r="K47" s="75"/>
      <c r="L47" s="363"/>
      <c r="M47" s="363"/>
      <c r="N47" s="363"/>
      <c r="O47" s="75"/>
      <c r="P47" s="156"/>
      <c r="Q47" s="156"/>
      <c r="R47" s="156"/>
      <c r="S47" s="89"/>
      <c r="T47" s="89"/>
      <c r="U47" s="89"/>
    </row>
    <row r="48" spans="1:21">
      <c r="A48" s="75"/>
      <c r="B48" s="75"/>
      <c r="C48" s="647"/>
      <c r="D48" s="628">
        <f>D47+0.5%</f>
        <v>0.06</v>
      </c>
      <c r="E48" s="432">
        <v>94.513859113540036</v>
      </c>
      <c r="F48" s="361">
        <v>106.63169648486024</v>
      </c>
      <c r="G48" s="362">
        <v>121.77899319901056</v>
      </c>
      <c r="H48" s="362">
        <v>141.25408897434653</v>
      </c>
      <c r="I48" s="362">
        <v>167.2208833414613</v>
      </c>
      <c r="J48" s="363"/>
      <c r="K48" s="363"/>
      <c r="L48" s="365"/>
      <c r="M48" s="366"/>
      <c r="N48" s="366"/>
      <c r="O48" s="75"/>
      <c r="P48" s="156"/>
      <c r="Q48" s="156"/>
      <c r="R48" s="156"/>
      <c r="S48" s="89"/>
      <c r="T48" s="89"/>
      <c r="U48" s="89"/>
    </row>
    <row r="49" spans="1:21">
      <c r="A49" s="75"/>
      <c r="B49" s="75"/>
      <c r="C49" s="647"/>
      <c r="D49" s="431">
        <f t="shared" ref="D49:D52" si="13">D48+0.5%</f>
        <v>6.5000000000000002E-2</v>
      </c>
      <c r="E49" s="432">
        <v>82.576094671707281</v>
      </c>
      <c r="F49" s="364">
        <v>92.305680974021939</v>
      </c>
      <c r="G49" s="364">
        <v>104.19739756573993</v>
      </c>
      <c r="H49" s="364">
        <v>119.06204330538732</v>
      </c>
      <c r="I49" s="364">
        <v>138.17373068493407</v>
      </c>
      <c r="J49" s="365"/>
      <c r="K49" s="366"/>
      <c r="L49" s="367"/>
      <c r="M49" s="367"/>
      <c r="N49" s="367"/>
      <c r="O49" s="75"/>
      <c r="P49" s="156"/>
      <c r="Q49" s="156"/>
      <c r="R49" s="156"/>
      <c r="S49" s="89"/>
      <c r="T49" s="89"/>
      <c r="U49" s="89"/>
    </row>
    <row r="50" spans="1:21">
      <c r="A50" s="75"/>
      <c r="B50" s="75"/>
      <c r="C50" s="647"/>
      <c r="D50" s="431">
        <f t="shared" si="13"/>
        <v>7.0000000000000007E-2</v>
      </c>
      <c r="E50" s="432">
        <v>72.641800827279297</v>
      </c>
      <c r="F50" s="364">
        <v>80.599195079687362</v>
      </c>
      <c r="G50" s="361">
        <v>90.148068182577077</v>
      </c>
      <c r="H50" s="361">
        <v>101.81891308610892</v>
      </c>
      <c r="I50" s="361">
        <v>116.40746921552373</v>
      </c>
      <c r="J50" s="367"/>
      <c r="K50" s="367"/>
      <c r="L50" s="367"/>
      <c r="M50" s="367"/>
      <c r="N50" s="367"/>
      <c r="O50" s="75"/>
      <c r="P50" s="156"/>
      <c r="Q50" s="156"/>
      <c r="R50" s="156"/>
      <c r="S50" s="89"/>
      <c r="T50" s="89"/>
      <c r="U50" s="89"/>
    </row>
    <row r="51" spans="1:21">
      <c r="A51" s="75"/>
      <c r="B51" s="75"/>
      <c r="C51" s="647"/>
      <c r="D51" s="431">
        <f t="shared" si="13"/>
        <v>7.5000000000000011E-2</v>
      </c>
      <c r="E51" s="432">
        <v>64.248315975054751</v>
      </c>
      <c r="F51" s="364">
        <v>70.857014114719533</v>
      </c>
      <c r="G51" s="361">
        <v>78.667293734323408</v>
      </c>
      <c r="H51" s="361">
        <v>88.039629277847993</v>
      </c>
      <c r="I51" s="361">
        <v>99.494706053266938</v>
      </c>
      <c r="J51" s="367"/>
      <c r="K51" s="367"/>
      <c r="L51" s="367"/>
      <c r="M51" s="367"/>
      <c r="N51" s="367"/>
      <c r="O51" s="75"/>
      <c r="P51" s="156"/>
      <c r="Q51" s="156"/>
      <c r="R51" s="156"/>
      <c r="S51" s="89"/>
      <c r="T51" s="89"/>
      <c r="U51" s="89"/>
    </row>
    <row r="52" spans="1:21">
      <c r="A52" s="75"/>
      <c r="B52" s="75"/>
      <c r="C52" s="647"/>
      <c r="D52" s="431">
        <f t="shared" si="13"/>
        <v>8.0000000000000016E-2</v>
      </c>
      <c r="E52" s="432">
        <v>57.065176738881803</v>
      </c>
      <c r="F52" s="364">
        <v>62.625530708807723</v>
      </c>
      <c r="G52" s="361">
        <v>69.112610340387974</v>
      </c>
      <c r="H52" s="361">
        <v>76.779158995891862</v>
      </c>
      <c r="I52" s="361">
        <v>85.979017382496551</v>
      </c>
      <c r="J52" s="367"/>
      <c r="K52" s="367"/>
      <c r="L52" s="367"/>
      <c r="M52" s="367"/>
      <c r="N52" s="367"/>
      <c r="O52" s="75"/>
      <c r="P52" s="156"/>
      <c r="Q52" s="156"/>
      <c r="R52" s="156"/>
      <c r="S52" s="89"/>
      <c r="T52" s="89"/>
      <c r="U52" s="89"/>
    </row>
    <row r="53" spans="1:21">
      <c r="B53" s="75"/>
      <c r="C53" s="75"/>
      <c r="D53" s="368"/>
      <c r="E53" s="75"/>
      <c r="F53" s="369"/>
      <c r="G53" s="367"/>
      <c r="H53" s="367"/>
      <c r="I53" s="367"/>
      <c r="J53" s="367"/>
      <c r="K53" s="367"/>
      <c r="P53" s="156"/>
      <c r="Q53" s="156"/>
      <c r="R53" s="156"/>
      <c r="S53" s="89"/>
      <c r="T53" s="89"/>
      <c r="U53" s="89"/>
    </row>
    <row r="54" spans="1:21" ht="17" thickBot="1">
      <c r="L54" s="147" t="s">
        <v>196</v>
      </c>
      <c r="M54" s="89"/>
      <c r="N54" s="89"/>
      <c r="P54" s="89"/>
      <c r="Q54" s="89"/>
      <c r="R54" s="89"/>
      <c r="S54" s="89"/>
      <c r="T54" s="89"/>
      <c r="U54" s="89"/>
    </row>
    <row r="55" spans="1:21" ht="17" thickBot="1">
      <c r="A55" s="89"/>
      <c r="B55" s="220"/>
      <c r="C55" s="194">
        <v>2022</v>
      </c>
      <c r="D55" s="145">
        <f>C55+1</f>
        <v>2023</v>
      </c>
      <c r="E55" s="145">
        <f t="shared" ref="E55:K55" si="14">D55+1</f>
        <v>2024</v>
      </c>
      <c r="F55" s="145">
        <f t="shared" si="14"/>
        <v>2025</v>
      </c>
      <c r="G55" s="145">
        <f t="shared" si="14"/>
        <v>2026</v>
      </c>
      <c r="H55" s="145">
        <f t="shared" si="14"/>
        <v>2027</v>
      </c>
      <c r="I55" s="145">
        <f t="shared" si="14"/>
        <v>2028</v>
      </c>
      <c r="J55" s="145">
        <f t="shared" si="14"/>
        <v>2029</v>
      </c>
      <c r="K55" s="146">
        <f t="shared" si="14"/>
        <v>2030</v>
      </c>
      <c r="L55" s="89"/>
      <c r="M55" s="89"/>
      <c r="N55" s="89"/>
      <c r="P55" s="89"/>
      <c r="Q55" s="89"/>
      <c r="R55" s="89"/>
      <c r="S55" s="89"/>
      <c r="T55" s="89"/>
      <c r="U55" s="89"/>
    </row>
    <row r="56" spans="1:21" ht="16" customHeight="1">
      <c r="A56" s="646" t="s">
        <v>122</v>
      </c>
      <c r="B56" s="485" t="s">
        <v>197</v>
      </c>
      <c r="C56" s="140">
        <f>C6</f>
        <v>68636.145999999993</v>
      </c>
      <c r="D56" s="140">
        <f>D6</f>
        <v>76324.675000000003</v>
      </c>
      <c r="E56" s="140">
        <f>E6</f>
        <v>78844</v>
      </c>
      <c r="F56" s="140">
        <f>F6</f>
        <v>81370</v>
      </c>
      <c r="G56" s="154">
        <f>F56*(1+G57)</f>
        <v>84624.8</v>
      </c>
      <c r="H56" s="154">
        <f t="shared" ref="H56:K56" si="15">G56*(1+H57)</f>
        <v>88432.915999999997</v>
      </c>
      <c r="I56" s="154">
        <f t="shared" si="15"/>
        <v>92412.397219999984</v>
      </c>
      <c r="J56" s="154">
        <f t="shared" si="15"/>
        <v>96570.955094899982</v>
      </c>
      <c r="K56" s="155">
        <f t="shared" si="15"/>
        <v>100916.64807417047</v>
      </c>
      <c r="L56" s="508"/>
      <c r="M56" s="89"/>
      <c r="N56" s="89"/>
      <c r="P56" s="89"/>
      <c r="Q56" s="89"/>
      <c r="R56" s="89"/>
      <c r="S56" s="89"/>
      <c r="T56" s="89"/>
      <c r="U56" s="89"/>
    </row>
    <row r="57" spans="1:21">
      <c r="A57" s="646"/>
      <c r="B57" s="144" t="s">
        <v>198</v>
      </c>
      <c r="C57" s="142"/>
      <c r="D57" s="218">
        <f>D56/C56-1</f>
        <v>0.11201865850684589</v>
      </c>
      <c r="E57" s="218">
        <f t="shared" ref="E57:F57" si="16">E56/D56-1</f>
        <v>3.3008001671805287E-2</v>
      </c>
      <c r="F57" s="218">
        <f t="shared" si="16"/>
        <v>3.203794835371121E-2</v>
      </c>
      <c r="G57" s="219">
        <f>'Sales breakdown'!B21</f>
        <v>0.04</v>
      </c>
      <c r="H57" s="219">
        <f>'Sales breakdown'!C21</f>
        <v>4.4999999999999998E-2</v>
      </c>
      <c r="I57" s="219">
        <f>'Sales breakdown'!D21</f>
        <v>4.4999999999999998E-2</v>
      </c>
      <c r="J57" s="219">
        <f>'Sales breakdown'!E21</f>
        <v>4.4999999999999998E-2</v>
      </c>
      <c r="K57" s="222">
        <f>'Sales breakdown'!F21</f>
        <v>4.4999999999999998E-2</v>
      </c>
      <c r="L57" s="89" t="s">
        <v>629</v>
      </c>
      <c r="M57" s="89"/>
      <c r="N57" s="89"/>
      <c r="P57" s="89"/>
      <c r="Q57" s="89"/>
      <c r="R57" s="89"/>
      <c r="S57" s="89"/>
      <c r="T57" s="89"/>
      <c r="U57" s="89"/>
    </row>
    <row r="58" spans="1:21">
      <c r="A58" s="646"/>
      <c r="B58" s="221" t="str">
        <f>'Sales breakdown'!A22</f>
        <v>Jetro sales added ($M)</v>
      </c>
      <c r="C58" s="142">
        <v>0</v>
      </c>
      <c r="D58" s="142">
        <v>0</v>
      </c>
      <c r="E58" s="142">
        <v>0</v>
      </c>
      <c r="F58" s="142">
        <v>0</v>
      </c>
      <c r="G58" s="139">
        <v>0</v>
      </c>
      <c r="H58" s="135">
        <f>'Sales breakdown'!C22</f>
        <v>8000</v>
      </c>
      <c r="I58" s="135">
        <f>'Sales breakdown'!D22</f>
        <v>16000</v>
      </c>
      <c r="J58" s="135">
        <f>'Sales breakdown'!E22</f>
        <v>16720</v>
      </c>
      <c r="K58" s="136">
        <f>'Sales breakdown'!F22</f>
        <v>17472.399999999998</v>
      </c>
      <c r="L58" s="89" t="s">
        <v>199</v>
      </c>
      <c r="M58" s="89"/>
      <c r="N58" s="89"/>
      <c r="P58" s="174"/>
      <c r="Q58" s="174"/>
      <c r="R58" s="174"/>
      <c r="S58" s="174"/>
      <c r="T58" s="174"/>
      <c r="U58" s="174"/>
    </row>
    <row r="59" spans="1:21" ht="16" customHeight="1">
      <c r="A59" s="646"/>
      <c r="B59" s="144" t="s">
        <v>200</v>
      </c>
      <c r="C59" s="142"/>
      <c r="D59" s="142"/>
      <c r="E59" s="142"/>
      <c r="F59" s="142"/>
      <c r="G59" s="148"/>
      <c r="H59" s="236"/>
      <c r="I59" s="235"/>
      <c r="J59" s="235">
        <f t="shared" ref="J59:K59" si="17">J58/I58-1</f>
        <v>4.4999999999999929E-2</v>
      </c>
      <c r="K59" s="486">
        <f t="shared" si="17"/>
        <v>4.4999999999999929E-2</v>
      </c>
      <c r="L59" s="89"/>
      <c r="M59" s="89"/>
      <c r="N59" s="89"/>
      <c r="P59" s="89"/>
      <c r="Q59" s="89"/>
      <c r="R59" s="89"/>
      <c r="S59" s="89"/>
      <c r="T59" s="89"/>
      <c r="U59" s="89"/>
    </row>
    <row r="60" spans="1:21" ht="17" thickBot="1">
      <c r="A60" s="646"/>
      <c r="B60" s="217" t="s">
        <v>201</v>
      </c>
      <c r="C60" s="487"/>
      <c r="D60" s="487">
        <f>D61/C61-1</f>
        <v>0.11201865850684589</v>
      </c>
      <c r="E60" s="487">
        <f>E61/D61-1</f>
        <v>3.3008001671805287E-2</v>
      </c>
      <c r="F60" s="487">
        <f>F61/E61-1</f>
        <v>3.203794835371121E-2</v>
      </c>
      <c r="G60" s="487">
        <f t="shared" ref="G60:K60" si="18">G61/F61-1</f>
        <v>4.0000000000000036E-2</v>
      </c>
      <c r="H60" s="487">
        <f>H61/G61-1</f>
        <v>0.13953493538537165</v>
      </c>
      <c r="I60" s="487">
        <f>I61/H61-1</f>
        <v>0.12422606011416248</v>
      </c>
      <c r="J60" s="487">
        <f>J61/I61-1</f>
        <v>4.4999999999999929E-2</v>
      </c>
      <c r="K60" s="488">
        <f t="shared" si="18"/>
        <v>4.4999999999999929E-2</v>
      </c>
      <c r="L60" s="150" t="s">
        <v>202</v>
      </c>
      <c r="M60" s="151">
        <f>_xlfn.RRI(5,F61,K61)</f>
        <v>7.7877589627481036E-2</v>
      </c>
      <c r="N60" s="89"/>
      <c r="P60" s="89"/>
      <c r="Q60" s="89"/>
      <c r="R60" s="89"/>
      <c r="S60" s="89"/>
      <c r="T60" s="89"/>
      <c r="U60" s="89"/>
    </row>
    <row r="61" spans="1:21" ht="17" thickBot="1">
      <c r="A61" s="484"/>
      <c r="B61" s="190" t="s">
        <v>203</v>
      </c>
      <c r="C61" s="191">
        <f>C56+C58</f>
        <v>68636.145999999993</v>
      </c>
      <c r="D61" s="191">
        <f t="shared" ref="D61:E61" si="19">D56+D58</f>
        <v>76324.675000000003</v>
      </c>
      <c r="E61" s="191">
        <f t="shared" si="19"/>
        <v>78844</v>
      </c>
      <c r="F61" s="192">
        <f>F56+F58</f>
        <v>81370</v>
      </c>
      <c r="G61" s="192">
        <f t="shared" ref="G61:J61" si="20">G56+G58</f>
        <v>84624.8</v>
      </c>
      <c r="H61" s="192">
        <f t="shared" si="20"/>
        <v>96432.915999999997</v>
      </c>
      <c r="I61" s="192">
        <f t="shared" si="20"/>
        <v>108412.39721999998</v>
      </c>
      <c r="J61" s="192">
        <f t="shared" si="20"/>
        <v>113290.95509489998</v>
      </c>
      <c r="K61" s="192">
        <f>K56+K58</f>
        <v>118389.04807417047</v>
      </c>
      <c r="L61" s="89"/>
      <c r="M61" s="89"/>
      <c r="N61" s="89"/>
      <c r="P61" s="89"/>
      <c r="Q61" s="89"/>
      <c r="R61" s="89"/>
      <c r="S61" s="89"/>
      <c r="T61" s="89"/>
      <c r="U61" s="89"/>
    </row>
    <row r="62" spans="1:21" ht="17" thickBot="1">
      <c r="A62" s="89"/>
      <c r="B62" s="89"/>
      <c r="C62" s="89"/>
      <c r="D62" s="89"/>
      <c r="E62" s="89"/>
      <c r="F62" s="152"/>
      <c r="G62" s="89"/>
      <c r="H62" s="89"/>
      <c r="I62" s="436"/>
      <c r="J62" s="89"/>
      <c r="K62" s="89"/>
      <c r="L62" s="89"/>
      <c r="M62" s="156"/>
      <c r="N62" s="89"/>
      <c r="P62" s="89"/>
      <c r="Q62" s="89"/>
      <c r="R62" s="89"/>
      <c r="S62" s="89"/>
      <c r="T62" s="89"/>
      <c r="U62" s="89"/>
    </row>
    <row r="63" spans="1:21" ht="16" customHeight="1">
      <c r="A63" s="646" t="s">
        <v>204</v>
      </c>
      <c r="B63" s="153" t="s">
        <v>205</v>
      </c>
      <c r="C63" s="140">
        <f>C7</f>
        <v>-56421.622000000003</v>
      </c>
      <c r="D63" s="140">
        <f>D7</f>
        <v>-62474.678</v>
      </c>
      <c r="E63" s="140">
        <f>E7</f>
        <v>-65092</v>
      </c>
      <c r="F63" s="243">
        <f>F7</f>
        <v>-67332</v>
      </c>
      <c r="G63" s="244">
        <f>G61*G64</f>
        <v>-69680.841670343987</v>
      </c>
      <c r="H63" s="154">
        <f t="shared" ref="H63:K63" si="21">H61*H64</f>
        <v>-79403.753410413745</v>
      </c>
      <c r="I63" s="154">
        <f t="shared" si="21"/>
        <v>-89267.76885486595</v>
      </c>
      <c r="J63" s="154">
        <f t="shared" si="21"/>
        <v>-93284.818453334912</v>
      </c>
      <c r="K63" s="155">
        <f t="shared" si="21"/>
        <v>-97482.63528373497</v>
      </c>
      <c r="P63" s="89"/>
      <c r="Q63" s="89"/>
      <c r="R63" s="89"/>
      <c r="S63" s="89"/>
      <c r="T63" s="89"/>
      <c r="U63" s="89"/>
    </row>
    <row r="64" spans="1:21">
      <c r="A64" s="646"/>
      <c r="B64" s="161" t="s">
        <v>207</v>
      </c>
      <c r="C64" s="237">
        <f>C63/C61</f>
        <v>-0.82203948339407062</v>
      </c>
      <c r="D64" s="237">
        <f t="shared" ref="D64:F64" si="22">D63/D61</f>
        <v>-0.81853840845047809</v>
      </c>
      <c r="E64" s="237">
        <f t="shared" si="22"/>
        <v>-0.82557962558977216</v>
      </c>
      <c r="F64" s="238">
        <f t="shared" si="22"/>
        <v>-0.82747941501781985</v>
      </c>
      <c r="G64" s="250">
        <f>AVERAGE(C64:F64)</f>
        <v>-0.82340923311303527</v>
      </c>
      <c r="H64" s="251">
        <f>G64</f>
        <v>-0.82340923311303527</v>
      </c>
      <c r="I64" s="251">
        <f t="shared" ref="I64:K64" si="23">H64</f>
        <v>-0.82340923311303527</v>
      </c>
      <c r="J64" s="251">
        <f t="shared" si="23"/>
        <v>-0.82340923311303527</v>
      </c>
      <c r="K64" s="252">
        <f t="shared" si="23"/>
        <v>-0.82340923311303527</v>
      </c>
      <c r="L64" s="89" t="s">
        <v>206</v>
      </c>
      <c r="M64" s="89"/>
      <c r="N64" s="89"/>
      <c r="P64" s="89"/>
      <c r="Q64" s="89"/>
      <c r="R64" s="89"/>
      <c r="S64" s="89"/>
      <c r="T64" s="89"/>
      <c r="U64" s="89"/>
    </row>
    <row r="65" spans="1:21">
      <c r="A65" s="646"/>
      <c r="B65" s="161" t="s">
        <v>209</v>
      </c>
      <c r="C65" s="239">
        <v>0</v>
      </c>
      <c r="D65" s="239">
        <v>0</v>
      </c>
      <c r="E65" s="239">
        <v>0</v>
      </c>
      <c r="F65" s="240">
        <v>0</v>
      </c>
      <c r="G65" s="245">
        <v>0</v>
      </c>
      <c r="H65" s="148">
        <v>100</v>
      </c>
      <c r="I65" s="148">
        <v>250</v>
      </c>
      <c r="J65" s="148">
        <v>250</v>
      </c>
      <c r="K65" s="149">
        <v>250</v>
      </c>
      <c r="L65" s="89" t="s">
        <v>208</v>
      </c>
      <c r="M65" s="156"/>
      <c r="N65" s="89"/>
      <c r="P65" s="89"/>
      <c r="Q65" s="89"/>
      <c r="R65" s="89"/>
      <c r="S65" s="89"/>
      <c r="T65" s="89"/>
      <c r="U65" s="89"/>
    </row>
    <row r="66" spans="1:21">
      <c r="A66" s="646"/>
      <c r="B66" s="157" t="s">
        <v>210</v>
      </c>
      <c r="C66" s="142">
        <f>C63+C65</f>
        <v>-56421.622000000003</v>
      </c>
      <c r="D66" s="142">
        <f t="shared" ref="D66:F66" si="24">D63+D65</f>
        <v>-62474.678</v>
      </c>
      <c r="E66" s="142">
        <f t="shared" si="24"/>
        <v>-65092</v>
      </c>
      <c r="F66" s="241">
        <f t="shared" si="24"/>
        <v>-67332</v>
      </c>
      <c r="G66" s="245">
        <f>G63+G65</f>
        <v>-69680.841670343987</v>
      </c>
      <c r="H66" s="148">
        <f>H63+H65</f>
        <v>-79303.753410413745</v>
      </c>
      <c r="I66" s="148">
        <f>I63+I65</f>
        <v>-89017.76885486595</v>
      </c>
      <c r="J66" s="148">
        <f>J63+J65</f>
        <v>-93034.818453334912</v>
      </c>
      <c r="K66" s="149">
        <f>K63+K65</f>
        <v>-97232.63528373497</v>
      </c>
    </row>
    <row r="67" spans="1:21" ht="17" thickBot="1">
      <c r="A67" s="646"/>
      <c r="B67" s="137" t="s">
        <v>211</v>
      </c>
      <c r="C67" s="138">
        <f>-C66/C61</f>
        <v>0.82203948339407062</v>
      </c>
      <c r="D67" s="138">
        <f t="shared" ref="D67:E67" si="25">-D66/D61</f>
        <v>0.81853840845047809</v>
      </c>
      <c r="E67" s="138">
        <f t="shared" si="25"/>
        <v>0.82557962558977216</v>
      </c>
      <c r="F67" s="242">
        <f>-F66/F61</f>
        <v>0.82747941501781985</v>
      </c>
      <c r="G67" s="247">
        <f>-G66/G61</f>
        <v>0.82340923311303527</v>
      </c>
      <c r="H67" s="248">
        <f>-H66/H61</f>
        <v>0.82237224279740484</v>
      </c>
      <c r="I67" s="248">
        <f t="shared" ref="I67:K67" si="26">-I66/I61</f>
        <v>0.82110322377821099</v>
      </c>
      <c r="J67" s="248">
        <f t="shared" si="26"/>
        <v>0.82120252561559581</v>
      </c>
      <c r="K67" s="249">
        <f t="shared" si="26"/>
        <v>0.82129755129730364</v>
      </c>
      <c r="L67" s="89"/>
      <c r="M67" s="89"/>
      <c r="N67" s="89"/>
      <c r="O67" s="287"/>
      <c r="P67" s="287"/>
    </row>
    <row r="68" spans="1:21" ht="17" thickBot="1">
      <c r="A68" s="156"/>
      <c r="B68" s="156"/>
      <c r="C68" s="156"/>
      <c r="D68" s="156"/>
      <c r="E68" s="156"/>
      <c r="F68" s="160"/>
      <c r="G68" s="156"/>
      <c r="H68" s="156"/>
      <c r="I68" s="156"/>
      <c r="J68" s="156"/>
      <c r="K68" s="156"/>
      <c r="L68" s="156"/>
      <c r="M68" s="156"/>
      <c r="N68" s="156"/>
      <c r="O68" s="289"/>
      <c r="P68" s="289"/>
    </row>
    <row r="69" spans="1:21" ht="16" customHeight="1">
      <c r="A69" s="655" t="s">
        <v>212</v>
      </c>
      <c r="B69" s="153" t="s">
        <v>637</v>
      </c>
      <c r="C69" s="140">
        <f>C10</f>
        <v>-9784.7250000000004</v>
      </c>
      <c r="D69" s="140">
        <f>D10</f>
        <v>-10708.566000000001</v>
      </c>
      <c r="E69" s="140">
        <f>E10</f>
        <v>-10270</v>
      </c>
      <c r="F69" s="141">
        <f>F10</f>
        <v>-10526</v>
      </c>
      <c r="G69" s="154">
        <f>-G61*G70</f>
        <v>-11001.224</v>
      </c>
      <c r="H69" s="154">
        <f>-H61*H70</f>
        <v>-12536.27908</v>
      </c>
      <c r="I69" s="154">
        <f>-I61*I70</f>
        <v>-14093.611638599998</v>
      </c>
      <c r="J69" s="154">
        <f>-J61*J70</f>
        <v>-14727.824162336998</v>
      </c>
      <c r="K69" s="155">
        <f>-K61*K70</f>
        <v>-15390.576249642161</v>
      </c>
      <c r="L69" s="89"/>
      <c r="M69" s="89"/>
      <c r="N69" s="89"/>
      <c r="O69" s="292"/>
      <c r="P69" s="292"/>
    </row>
    <row r="70" spans="1:21" ht="17" thickBot="1">
      <c r="A70" s="655"/>
      <c r="B70" s="162" t="s">
        <v>213</v>
      </c>
      <c r="C70" s="163">
        <f>-C69/C61</f>
        <v>0.14255935932067051</v>
      </c>
      <c r="D70" s="163">
        <f>-D69/D61</f>
        <v>0.14030280508891785</v>
      </c>
      <c r="E70" s="163">
        <f>-E69/E61</f>
        <v>0.13025721678250723</v>
      </c>
      <c r="F70" s="193">
        <f>-F69/F61</f>
        <v>0.12935971488263487</v>
      </c>
      <c r="G70" s="165">
        <v>0.13</v>
      </c>
      <c r="H70" s="165">
        <f>G70</f>
        <v>0.13</v>
      </c>
      <c r="I70" s="165">
        <f>H70</f>
        <v>0.13</v>
      </c>
      <c r="J70" s="165">
        <f>I70</f>
        <v>0.13</v>
      </c>
      <c r="K70" s="483">
        <f>J70</f>
        <v>0.13</v>
      </c>
      <c r="L70" s="89" t="s">
        <v>641</v>
      </c>
      <c r="M70" s="89"/>
      <c r="N70" s="509"/>
      <c r="O70" s="292"/>
      <c r="P70" s="290"/>
    </row>
    <row r="71" spans="1:21">
      <c r="A71" s="480"/>
      <c r="B71" s="481"/>
      <c r="C71" s="454"/>
      <c r="D71" s="454"/>
      <c r="E71" s="454"/>
      <c r="F71" s="454"/>
      <c r="G71" s="482"/>
      <c r="H71" s="482"/>
      <c r="I71" s="482"/>
      <c r="J71" s="482"/>
      <c r="K71" s="482"/>
      <c r="L71" s="89"/>
      <c r="M71" s="89"/>
      <c r="N71" s="89"/>
      <c r="O71" s="292"/>
      <c r="P71" s="290"/>
    </row>
    <row r="72" spans="1:21" ht="16" customHeight="1" thickBot="1">
      <c r="A72" s="89"/>
      <c r="B72" s="166" t="s">
        <v>215</v>
      </c>
      <c r="C72" s="455"/>
      <c r="D72" s="455"/>
      <c r="E72" s="455"/>
      <c r="F72" s="455"/>
      <c r="G72" s="167"/>
      <c r="H72" s="167"/>
      <c r="I72" s="167"/>
      <c r="J72" s="167"/>
      <c r="K72" s="167"/>
      <c r="M72" s="89"/>
      <c r="N72" s="89"/>
      <c r="O72" s="291"/>
      <c r="P72" s="291"/>
    </row>
    <row r="73" spans="1:21" ht="17" customHeight="1">
      <c r="A73" s="655" t="s">
        <v>214</v>
      </c>
      <c r="B73" s="168" t="s">
        <v>216</v>
      </c>
      <c r="C73" s="470">
        <f>'All financial statements 21-25'!C63</f>
        <v>4838.9120000000003</v>
      </c>
      <c r="D73" s="140">
        <f>'All financial statements 21-25'!D63</f>
        <v>5091.97</v>
      </c>
      <c r="E73" s="140">
        <f>'All financial statements 21-25'!E63</f>
        <v>5324</v>
      </c>
      <c r="F73" s="140">
        <f>'All financial statements 21-25'!F63</f>
        <v>5502</v>
      </c>
      <c r="G73" s="244">
        <f>G61*G74</f>
        <v>5722.08</v>
      </c>
      <c r="H73" s="154">
        <f>H61*H74</f>
        <v>6520.5100630699271</v>
      </c>
      <c r="I73" s="154">
        <f>I61*I74</f>
        <v>7330.5273381398538</v>
      </c>
      <c r="J73" s="154">
        <f>J61*J74</f>
        <v>7660.4010683561473</v>
      </c>
      <c r="K73" s="155">
        <f>K61*K74</f>
        <v>8005.1191164321726</v>
      </c>
      <c r="L73" s="89"/>
      <c r="M73" s="156"/>
      <c r="N73" s="156"/>
      <c r="O73" s="290"/>
      <c r="P73" s="290"/>
    </row>
    <row r="74" spans="1:21">
      <c r="A74" s="655"/>
      <c r="B74" s="158" t="s">
        <v>217</v>
      </c>
      <c r="C74" s="471"/>
      <c r="D74" s="459">
        <f>D73/D61</f>
        <v>6.6714597867596551E-2</v>
      </c>
      <c r="E74" s="459">
        <f>E73/E61</f>
        <v>6.7525747044797316E-2</v>
      </c>
      <c r="F74" s="459">
        <f>F73/F61</f>
        <v>6.7617057883740936E-2</v>
      </c>
      <c r="G74" s="277">
        <f>F74</f>
        <v>6.7617057883740936E-2</v>
      </c>
      <c r="H74" s="460">
        <f>G74</f>
        <v>6.7617057883740936E-2</v>
      </c>
      <c r="I74" s="460">
        <f>H74</f>
        <v>6.7617057883740936E-2</v>
      </c>
      <c r="J74" s="460">
        <f>I74</f>
        <v>6.7617057883740936E-2</v>
      </c>
      <c r="K74" s="159">
        <f>J74</f>
        <v>6.7617057883740936E-2</v>
      </c>
      <c r="L74" s="89" t="s">
        <v>639</v>
      </c>
      <c r="M74" s="156"/>
      <c r="N74" s="156"/>
      <c r="O74" s="290"/>
      <c r="P74" s="290"/>
    </row>
    <row r="75" spans="1:21">
      <c r="A75" s="655"/>
      <c r="B75" s="158" t="s">
        <v>218</v>
      </c>
      <c r="C75" s="472"/>
      <c r="D75" s="461">
        <f>D73-C73</f>
        <v>253.05799999999999</v>
      </c>
      <c r="E75" s="461">
        <f t="shared" ref="E75" si="27">E73-D73</f>
        <v>232.02999999999975</v>
      </c>
      <c r="F75" s="461">
        <f t="shared" ref="F75:K75" si="28">F73-E73</f>
        <v>178</v>
      </c>
      <c r="G75" s="426">
        <f t="shared" si="28"/>
        <v>220.07999999999993</v>
      </c>
      <c r="H75" s="461">
        <f t="shared" si="28"/>
        <v>798.4300630699272</v>
      </c>
      <c r="I75" s="461">
        <f t="shared" si="28"/>
        <v>810.01727506992665</v>
      </c>
      <c r="J75" s="461">
        <f t="shared" si="28"/>
        <v>329.87373021629355</v>
      </c>
      <c r="K75" s="427">
        <f t="shared" si="28"/>
        <v>344.7180480760253</v>
      </c>
      <c r="M75" s="156"/>
      <c r="N75" s="156"/>
      <c r="O75" s="290"/>
      <c r="P75" s="290"/>
    </row>
    <row r="76" spans="1:21">
      <c r="A76" s="655"/>
      <c r="B76" s="169" t="s">
        <v>219</v>
      </c>
      <c r="C76" s="473">
        <f>'All financial statements 21-25'!C67</f>
        <v>4437.4979999999996</v>
      </c>
      <c r="D76" s="142">
        <f>'All financial statements 21-25'!D67</f>
        <v>4480.8119999999999</v>
      </c>
      <c r="E76" s="142">
        <f>'All financial statements 21-25'!E67</f>
        <v>4678</v>
      </c>
      <c r="F76" s="142">
        <f>'All financial statements 21-25'!F67</f>
        <v>5053</v>
      </c>
      <c r="G76" s="278">
        <f>G61*G77</f>
        <v>5255.1200000000008</v>
      </c>
      <c r="H76" s="462">
        <f>H61*H77</f>
        <v>5988.3928296423746</v>
      </c>
      <c r="I76" s="462">
        <f>I61*I77</f>
        <v>6732.3072772847481</v>
      </c>
      <c r="J76" s="462">
        <f>J61*J77</f>
        <v>7035.2611047625614</v>
      </c>
      <c r="K76" s="275">
        <f>K61*K77</f>
        <v>7351.8478544768759</v>
      </c>
      <c r="L76" s="89"/>
      <c r="M76" s="156"/>
      <c r="N76" s="156"/>
      <c r="O76" s="291"/>
      <c r="P76" s="291"/>
    </row>
    <row r="77" spans="1:21">
      <c r="A77" s="655"/>
      <c r="B77" s="158" t="s">
        <v>220</v>
      </c>
      <c r="C77" s="471"/>
      <c r="D77" s="459">
        <f>D76/D61</f>
        <v>5.870725292967182E-2</v>
      </c>
      <c r="E77" s="459">
        <f>E76/E61</f>
        <v>5.9332352493531533E-2</v>
      </c>
      <c r="F77" s="459">
        <f>F76/F61</f>
        <v>6.2099053705296794E-2</v>
      </c>
      <c r="G77" s="277">
        <f>F77</f>
        <v>6.2099053705296794E-2</v>
      </c>
      <c r="H77" s="460">
        <f t="shared" ref="H77:K77" si="29">G77</f>
        <v>6.2099053705296794E-2</v>
      </c>
      <c r="I77" s="460">
        <f t="shared" si="29"/>
        <v>6.2099053705296794E-2</v>
      </c>
      <c r="J77" s="460">
        <f t="shared" si="29"/>
        <v>6.2099053705296794E-2</v>
      </c>
      <c r="K77" s="159">
        <f t="shared" si="29"/>
        <v>6.2099053705296794E-2</v>
      </c>
      <c r="L77" s="89" t="str">
        <f>L74</f>
        <v xml:space="preserve">last year rate/ historical </v>
      </c>
      <c r="M77" s="156"/>
      <c r="N77" s="156"/>
      <c r="O77" s="290"/>
      <c r="P77" s="290"/>
    </row>
    <row r="78" spans="1:21">
      <c r="A78" s="655"/>
      <c r="B78" s="158" t="s">
        <v>218</v>
      </c>
      <c r="C78" s="474"/>
      <c r="D78" s="463">
        <f>D76-C76</f>
        <v>43.314000000000306</v>
      </c>
      <c r="E78" s="463">
        <f t="shared" ref="E78:F78" si="30">E76-D76</f>
        <v>197.1880000000001</v>
      </c>
      <c r="F78" s="463">
        <f t="shared" si="30"/>
        <v>375</v>
      </c>
      <c r="G78" s="281">
        <f>G76-F76</f>
        <v>202.1200000000008</v>
      </c>
      <c r="H78" s="463">
        <f t="shared" ref="H78:K78" si="31">H76-G76</f>
        <v>733.27282964237384</v>
      </c>
      <c r="I78" s="463">
        <f t="shared" si="31"/>
        <v>743.91444764237349</v>
      </c>
      <c r="J78" s="463">
        <f t="shared" si="31"/>
        <v>302.95382747781332</v>
      </c>
      <c r="K78" s="170">
        <f t="shared" si="31"/>
        <v>316.58674971431446</v>
      </c>
      <c r="L78" s="89"/>
      <c r="M78" s="156"/>
      <c r="N78" s="156"/>
      <c r="O78" s="290"/>
      <c r="P78" s="290"/>
    </row>
    <row r="79" spans="1:21">
      <c r="A79" s="655"/>
      <c r="B79" s="161" t="s">
        <v>221</v>
      </c>
      <c r="C79" s="473">
        <f>'All financial statements 21-25'!C69</f>
        <v>303.78899999999999</v>
      </c>
      <c r="D79" s="142">
        <f>'All financial statements 21-25'!D69</f>
        <v>284.56599999999997</v>
      </c>
      <c r="E79" s="142">
        <f>'All financial statements 21-25'!E69</f>
        <v>323</v>
      </c>
      <c r="F79" s="142">
        <f>'All financial statements 21-25'!F69</f>
        <v>338</v>
      </c>
      <c r="G79" s="279">
        <f>G61*G80</f>
        <v>351.52000000000004</v>
      </c>
      <c r="H79" s="464">
        <f>H61*H80</f>
        <v>400.5693204866659</v>
      </c>
      <c r="I79" s="464">
        <f>I61*I80</f>
        <v>450.33046897333168</v>
      </c>
      <c r="J79" s="464">
        <f>J61*J80</f>
        <v>470.5953400771316</v>
      </c>
      <c r="K79" s="171">
        <f>K61*K80</f>
        <v>491.77213038060245</v>
      </c>
      <c r="L79" s="89"/>
      <c r="M79" s="156"/>
      <c r="N79" s="156"/>
      <c r="O79" s="290"/>
      <c r="P79" s="290"/>
    </row>
    <row r="80" spans="1:21">
      <c r="A80" s="655"/>
      <c r="B80" s="158" t="s">
        <v>222</v>
      </c>
      <c r="C80" s="473"/>
      <c r="D80" s="465">
        <f>D79/D61</f>
        <v>3.7283617650517341E-3</v>
      </c>
      <c r="E80" s="465">
        <f>E79/E61</f>
        <v>4.0966972756328957E-3</v>
      </c>
      <c r="F80" s="465">
        <f>F79/F61</f>
        <v>4.1538650608332313E-3</v>
      </c>
      <c r="G80" s="280">
        <f>F80</f>
        <v>4.1538650608332313E-3</v>
      </c>
      <c r="H80" s="466">
        <f t="shared" ref="H80:K80" si="32">G80</f>
        <v>4.1538650608332313E-3</v>
      </c>
      <c r="I80" s="466">
        <f t="shared" si="32"/>
        <v>4.1538650608332313E-3</v>
      </c>
      <c r="J80" s="466">
        <f t="shared" si="32"/>
        <v>4.1538650608332313E-3</v>
      </c>
      <c r="K80" s="276">
        <f t="shared" si="32"/>
        <v>4.1538650608332313E-3</v>
      </c>
      <c r="L80" s="89" t="s">
        <v>640</v>
      </c>
      <c r="M80" s="156"/>
      <c r="N80" s="156"/>
      <c r="O80" s="290"/>
      <c r="P80" s="290"/>
    </row>
    <row r="81" spans="1:16">
      <c r="A81" s="655"/>
      <c r="B81" s="158" t="s">
        <v>218</v>
      </c>
      <c r="C81" s="475"/>
      <c r="D81" s="463">
        <f>D79-C79</f>
        <v>-19.223000000000013</v>
      </c>
      <c r="E81" s="463">
        <f t="shared" ref="E81:F81" si="33">E79-D79</f>
        <v>38.434000000000026</v>
      </c>
      <c r="F81" s="463">
        <f t="shared" si="33"/>
        <v>15</v>
      </c>
      <c r="G81" s="281">
        <f>G79-F79</f>
        <v>13.520000000000039</v>
      </c>
      <c r="H81" s="463">
        <f t="shared" ref="H81:K81" si="34">H79-G79</f>
        <v>49.049320486665863</v>
      </c>
      <c r="I81" s="463">
        <f t="shared" si="34"/>
        <v>49.761148486665775</v>
      </c>
      <c r="J81" s="463">
        <f t="shared" si="34"/>
        <v>20.264871103799919</v>
      </c>
      <c r="K81" s="170">
        <f t="shared" si="34"/>
        <v>21.176790303470852</v>
      </c>
      <c r="L81" s="89"/>
      <c r="M81" s="156"/>
      <c r="N81" s="156"/>
      <c r="O81" s="290"/>
      <c r="P81" s="290"/>
    </row>
    <row r="82" spans="1:16">
      <c r="A82" s="655"/>
      <c r="B82" s="169" t="s">
        <v>223</v>
      </c>
      <c r="C82" s="473">
        <f>'All financial statements 21-25'!C93</f>
        <v>5752.9579999999996</v>
      </c>
      <c r="D82" s="142">
        <f>'All financial statements 21-25'!D93</f>
        <v>6025.7569999999996</v>
      </c>
      <c r="E82" s="142">
        <f>'All financial statements 21-25'!E93</f>
        <v>6290</v>
      </c>
      <c r="F82" s="142">
        <f>'All financial statements 21-25'!F93</f>
        <v>6512</v>
      </c>
      <c r="G82" s="245">
        <f>G61*G83</f>
        <v>6734.9010123200142</v>
      </c>
      <c r="H82" s="148">
        <f>H61*H83</f>
        <v>7674.6549899009615</v>
      </c>
      <c r="I82" s="148">
        <f>I61*I83</f>
        <v>8628.0471420318554</v>
      </c>
      <c r="J82" s="148">
        <f>J61*J83</f>
        <v>9016.3092634232889</v>
      </c>
      <c r="K82" s="149">
        <f>K61*K83</f>
        <v>9422.0431802773364</v>
      </c>
      <c r="L82" s="89"/>
      <c r="M82" s="156"/>
      <c r="N82" s="156"/>
      <c r="O82" s="290"/>
      <c r="P82" s="290"/>
    </row>
    <row r="83" spans="1:16">
      <c r="A83" s="655"/>
      <c r="B83" s="158" t="s">
        <v>224</v>
      </c>
      <c r="C83" s="471"/>
      <c r="D83" s="465">
        <f>D82/D61</f>
        <v>7.8949003058316328E-2</v>
      </c>
      <c r="E83" s="465">
        <f>E82/E61</f>
        <v>7.9777789051798484E-2</v>
      </c>
      <c r="F83" s="465">
        <f>F82/F61</f>
        <v>8.0029494899840237E-2</v>
      </c>
      <c r="G83" s="280">
        <f>AVERAGE(D83:F83)</f>
        <v>7.9585429003318345E-2</v>
      </c>
      <c r="H83" s="466">
        <f>G83</f>
        <v>7.9585429003318345E-2</v>
      </c>
      <c r="I83" s="466">
        <f t="shared" ref="I83:K83" si="35">H83</f>
        <v>7.9585429003318345E-2</v>
      </c>
      <c r="J83" s="466">
        <f t="shared" si="35"/>
        <v>7.9585429003318345E-2</v>
      </c>
      <c r="K83" s="276">
        <f t="shared" si="35"/>
        <v>7.9585429003318345E-2</v>
      </c>
      <c r="L83" s="89" t="str">
        <f>L80</f>
        <v xml:space="preserve">historical average </v>
      </c>
      <c r="M83" s="156"/>
      <c r="N83" s="156"/>
      <c r="O83" s="290"/>
      <c r="P83" s="290"/>
    </row>
    <row r="84" spans="1:16">
      <c r="A84" s="655"/>
      <c r="B84" s="158" t="s">
        <v>218</v>
      </c>
      <c r="C84" s="472"/>
      <c r="D84" s="461">
        <f>-(D82-C82)</f>
        <v>-272.79899999999998</v>
      </c>
      <c r="E84" s="461">
        <f t="shared" ref="E84" si="36">-(E82-D82)</f>
        <v>-264.24300000000039</v>
      </c>
      <c r="F84" s="461">
        <f>-(F82-E82)</f>
        <v>-222</v>
      </c>
      <c r="G84" s="426">
        <f t="shared" ref="G84:K84" si="37">-(G82-F82)</f>
        <v>-222.90101232001416</v>
      </c>
      <c r="H84" s="461">
        <f t="shared" si="37"/>
        <v>-939.75397758094732</v>
      </c>
      <c r="I84" s="461">
        <f t="shared" si="37"/>
        <v>-953.39215213089392</v>
      </c>
      <c r="J84" s="461">
        <f t="shared" si="37"/>
        <v>-388.26212139143354</v>
      </c>
      <c r="K84" s="427">
        <f t="shared" si="37"/>
        <v>-405.73391685404749</v>
      </c>
      <c r="M84" s="156"/>
      <c r="N84" s="156"/>
      <c r="O84" s="290"/>
      <c r="P84" s="290"/>
    </row>
    <row r="85" spans="1:16">
      <c r="A85" s="655"/>
      <c r="B85" s="169" t="s">
        <v>225</v>
      </c>
      <c r="C85" s="473">
        <f>'All financial statements 21-25'!C95</f>
        <v>2270.7530000000002</v>
      </c>
      <c r="D85" s="142">
        <f>'All financial statements 21-25'!D95</f>
        <v>2251.181</v>
      </c>
      <c r="E85" s="142">
        <f>'All financial statements 21-25'!E95</f>
        <v>2226</v>
      </c>
      <c r="F85" s="142">
        <f>'All financial statements 21-25'!F95</f>
        <v>2268</v>
      </c>
      <c r="G85" s="245">
        <f>G61*G86</f>
        <v>2358.7200000000003</v>
      </c>
      <c r="H85" s="148">
        <f>H61*H86</f>
        <v>2687.8438427921838</v>
      </c>
      <c r="I85" s="148">
        <f>I61*I86</f>
        <v>3021.7440935843674</v>
      </c>
      <c r="J85" s="148">
        <f>J61*J86</f>
        <v>3157.7225777956637</v>
      </c>
      <c r="K85" s="149">
        <f>K61*K86</f>
        <v>3299.820093796468</v>
      </c>
      <c r="M85" s="89"/>
      <c r="N85" s="89"/>
      <c r="O85" s="285"/>
      <c r="P85" s="285"/>
    </row>
    <row r="86" spans="1:16">
      <c r="A86" s="655"/>
      <c r="B86" s="158" t="s">
        <v>636</v>
      </c>
      <c r="C86" s="473"/>
      <c r="D86" s="454">
        <f>D85/D61</f>
        <v>2.9494799683064486E-2</v>
      </c>
      <c r="E86" s="454">
        <f>E85/E61</f>
        <v>2.8232966363959212E-2</v>
      </c>
      <c r="F86" s="454">
        <f>F85/F61</f>
        <v>2.7872680349022981E-2</v>
      </c>
      <c r="G86" s="282">
        <f>F86</f>
        <v>2.7872680349022981E-2</v>
      </c>
      <c r="H86" s="469">
        <f t="shared" ref="H86:K86" si="38">G86</f>
        <v>2.7872680349022981E-2</v>
      </c>
      <c r="I86" s="469">
        <f t="shared" si="38"/>
        <v>2.7872680349022981E-2</v>
      </c>
      <c r="J86" s="469">
        <f t="shared" si="38"/>
        <v>2.7872680349022981E-2</v>
      </c>
      <c r="K86" s="476">
        <f t="shared" si="38"/>
        <v>2.7872680349022981E-2</v>
      </c>
      <c r="L86" s="89" t="str">
        <f>L83</f>
        <v xml:space="preserve">historical average </v>
      </c>
      <c r="M86" s="89"/>
      <c r="N86" s="89"/>
      <c r="O86" s="285"/>
      <c r="P86" s="285"/>
    </row>
    <row r="87" spans="1:16">
      <c r="A87" s="655"/>
      <c r="B87" s="158" t="s">
        <v>218</v>
      </c>
      <c r="C87" s="477"/>
      <c r="D87" s="463">
        <f>-(D85-C85)</f>
        <v>19.572000000000116</v>
      </c>
      <c r="E87" s="463">
        <f t="shared" ref="E87:F87" si="39">-(E85-D85)</f>
        <v>25.18100000000004</v>
      </c>
      <c r="F87" s="463">
        <f t="shared" si="39"/>
        <v>-42</v>
      </c>
      <c r="G87" s="281">
        <f>-(G85-F85)</f>
        <v>-90.720000000000255</v>
      </c>
      <c r="H87" s="463">
        <f t="shared" ref="H87:K87" si="40">-(H85-G85)</f>
        <v>-329.1238427921835</v>
      </c>
      <c r="I87" s="463">
        <f t="shared" si="40"/>
        <v>-333.90025079218367</v>
      </c>
      <c r="J87" s="463">
        <f t="shared" si="40"/>
        <v>-135.97848421129629</v>
      </c>
      <c r="K87" s="170">
        <f t="shared" si="40"/>
        <v>-142.09751600080426</v>
      </c>
      <c r="M87" s="89"/>
      <c r="N87" s="89"/>
      <c r="O87" s="294"/>
      <c r="P87" s="295"/>
    </row>
    <row r="88" spans="1:16" ht="17" thickBot="1">
      <c r="A88" s="655"/>
      <c r="B88" s="172" t="s">
        <v>226</v>
      </c>
      <c r="C88" s="478"/>
      <c r="D88" s="173">
        <f>SUM(D75+D78+D81+D84+D87)</f>
        <v>23.922000000000423</v>
      </c>
      <c r="E88" s="173">
        <f t="shared" ref="E88:K88" si="41">SUM(E75+E78+E81+E84+E87)</f>
        <v>228.58999999999952</v>
      </c>
      <c r="F88" s="173">
        <f t="shared" si="41"/>
        <v>304</v>
      </c>
      <c r="G88" s="479">
        <f t="shared" si="41"/>
        <v>122.09898767998635</v>
      </c>
      <c r="H88" s="173">
        <f t="shared" si="41"/>
        <v>311.87439282583614</v>
      </c>
      <c r="I88" s="173">
        <f t="shared" si="41"/>
        <v>316.40046827588822</v>
      </c>
      <c r="J88" s="173">
        <f t="shared" si="41"/>
        <v>128.85182319517696</v>
      </c>
      <c r="K88" s="467">
        <f t="shared" si="41"/>
        <v>134.65015523895886</v>
      </c>
      <c r="L88" s="89"/>
      <c r="M88" s="89"/>
      <c r="N88" s="89"/>
      <c r="O88" s="297"/>
      <c r="P88" s="296"/>
    </row>
    <row r="89" spans="1:16">
      <c r="A89" s="655"/>
      <c r="B89" s="456"/>
      <c r="C89" s="457"/>
      <c r="D89" s="458"/>
      <c r="E89" s="458"/>
      <c r="F89" s="458"/>
      <c r="G89" s="458"/>
      <c r="H89" s="458"/>
      <c r="I89" s="458"/>
      <c r="J89" s="458"/>
      <c r="K89" s="458"/>
      <c r="L89" s="89"/>
      <c r="M89" s="89"/>
      <c r="N89" s="89"/>
      <c r="O89" s="285"/>
      <c r="P89" s="285"/>
    </row>
    <row r="90" spans="1:16" ht="17" thickBot="1">
      <c r="B90" s="175"/>
      <c r="C90" s="176"/>
      <c r="D90" s="177"/>
      <c r="E90" s="177"/>
      <c r="F90" s="178"/>
      <c r="G90" s="177"/>
      <c r="H90" s="177"/>
      <c r="I90" s="177"/>
      <c r="J90" s="177"/>
      <c r="K90" s="177"/>
      <c r="M90" s="89"/>
      <c r="N90" s="89"/>
      <c r="O90" s="285"/>
      <c r="P90" s="285"/>
    </row>
    <row r="91" spans="1:16" ht="16" customHeight="1">
      <c r="A91" s="655" t="s">
        <v>227</v>
      </c>
      <c r="B91" s="179" t="s">
        <v>228</v>
      </c>
      <c r="C91" s="140">
        <f>C17</f>
        <v>-632.80200000000002</v>
      </c>
      <c r="D91" s="140">
        <f>D17</f>
        <v>-793.32500000000005</v>
      </c>
      <c r="E91" s="140">
        <f>E17</f>
        <v>-832</v>
      </c>
      <c r="F91" s="140">
        <f>F17</f>
        <v>-906</v>
      </c>
      <c r="G91" s="270">
        <f>G61*G93</f>
        <v>-904.9463277872436</v>
      </c>
      <c r="H91" s="180">
        <f>H61*H93</f>
        <v>-1031.217955162266</v>
      </c>
      <c r="I91" s="180">
        <f>I61*I93</f>
        <v>-1159.3220988510573</v>
      </c>
      <c r="J91" s="180">
        <f>J61*J93</f>
        <v>-1211.4915932993549</v>
      </c>
      <c r="K91" s="181">
        <f>K61*K93</f>
        <v>-1266.0087149978258</v>
      </c>
      <c r="M91" s="89"/>
      <c r="N91" s="89"/>
      <c r="O91" s="285"/>
      <c r="P91" s="285"/>
    </row>
    <row r="92" spans="1:16">
      <c r="A92" s="655"/>
      <c r="B92" s="182" t="s">
        <v>229</v>
      </c>
      <c r="C92" s="468"/>
      <c r="D92" s="459">
        <f>D91/C91-1</f>
        <v>0.25367018435466382</v>
      </c>
      <c r="E92" s="459">
        <f>E91/D91-1</f>
        <v>4.8750512085210973E-2</v>
      </c>
      <c r="F92" s="459">
        <f>F91/E91-1</f>
        <v>8.8942307692307709E-2</v>
      </c>
      <c r="G92" s="274">
        <f>G91/F91-1</f>
        <v>-1.1629936123138673E-3</v>
      </c>
      <c r="H92" s="459">
        <f t="shared" ref="H92:J92" si="42">H91/G91-1</f>
        <v>0.13953493538537165</v>
      </c>
      <c r="I92" s="459">
        <f t="shared" si="42"/>
        <v>0.12422606011416248</v>
      </c>
      <c r="J92" s="459">
        <f t="shared" si="42"/>
        <v>4.5000000000000151E-2</v>
      </c>
      <c r="K92" s="271">
        <f>K91/J91-1</f>
        <v>4.4999999999999929E-2</v>
      </c>
      <c r="M92" s="89"/>
      <c r="N92" s="89"/>
      <c r="O92" s="285"/>
      <c r="P92" s="285"/>
    </row>
    <row r="93" spans="1:16" ht="17" thickBot="1">
      <c r="A93" s="655"/>
      <c r="B93" s="162" t="s">
        <v>231</v>
      </c>
      <c r="C93" s="164"/>
      <c r="D93" s="164">
        <f>D91/D61</f>
        <v>-1.0394082909622609E-2</v>
      </c>
      <c r="E93" s="164">
        <f>E91/E61</f>
        <v>-1.0552483384911979E-2</v>
      </c>
      <c r="F93" s="164">
        <f>F91/F61</f>
        <v>-1.1134324689689074E-2</v>
      </c>
      <c r="G93" s="273">
        <f>AVERAGE(D93:F93)</f>
        <v>-1.0693630328074554E-2</v>
      </c>
      <c r="H93" s="460">
        <f>G93</f>
        <v>-1.0693630328074554E-2</v>
      </c>
      <c r="I93" s="460">
        <f t="shared" ref="I93:J93" si="43">H93</f>
        <v>-1.0693630328074554E-2</v>
      </c>
      <c r="J93" s="460">
        <f t="shared" si="43"/>
        <v>-1.0693630328074554E-2</v>
      </c>
      <c r="K93" s="159">
        <f>J93</f>
        <v>-1.0693630328074554E-2</v>
      </c>
      <c r="L93" s="89" t="s">
        <v>230</v>
      </c>
      <c r="M93" s="89"/>
      <c r="N93" s="89"/>
      <c r="O93" s="285"/>
      <c r="P93" s="285"/>
    </row>
    <row r="94" spans="1:16">
      <c r="A94" s="655"/>
      <c r="B94" s="161" t="s">
        <v>232</v>
      </c>
      <c r="C94" s="395">
        <f>-C12</f>
        <v>880.93299999999999</v>
      </c>
      <c r="D94" s="395">
        <f>-D12</f>
        <v>888.67700000000002</v>
      </c>
      <c r="E94" s="395">
        <f>-E12</f>
        <v>997</v>
      </c>
      <c r="F94" s="395">
        <f>-F12</f>
        <v>1086</v>
      </c>
      <c r="G94" s="270">
        <f>-G91*G96</f>
        <v>1060.9547501250918</v>
      </c>
      <c r="H94" s="180">
        <f t="shared" ref="H94:K94" si="44">-H91*H96</f>
        <v>1208.9950026305994</v>
      </c>
      <c r="I94" s="180">
        <f t="shared" si="44"/>
        <v>1359.1836885051102</v>
      </c>
      <c r="J94" s="180">
        <f t="shared" si="44"/>
        <v>1420.3469544878403</v>
      </c>
      <c r="K94" s="181">
        <f t="shared" si="44"/>
        <v>1484.262567439793</v>
      </c>
      <c r="O94" s="285"/>
      <c r="P94" s="285"/>
    </row>
    <row r="95" spans="1:16">
      <c r="A95" s="655"/>
      <c r="B95" s="158" t="s">
        <v>233</v>
      </c>
      <c r="C95" s="459">
        <f>C94/C61</f>
        <v>1.2834826127912253E-2</v>
      </c>
      <c r="D95" s="459">
        <f>D94/D61</f>
        <v>1.1643377452966553E-2</v>
      </c>
      <c r="E95" s="459">
        <f>E94/E61</f>
        <v>1.2645223479275531E-2</v>
      </c>
      <c r="F95" s="459">
        <f>F94/F61</f>
        <v>1.3346442177706771E-2</v>
      </c>
      <c r="G95" s="273">
        <f>AVERAGE(C95:F95)</f>
        <v>1.2617467309465278E-2</v>
      </c>
      <c r="H95" s="460">
        <f t="shared" ref="H95:J95" si="45">AVERAGE(D95:G95)</f>
        <v>1.2563127604853534E-2</v>
      </c>
      <c r="I95" s="460">
        <f t="shared" si="45"/>
        <v>1.2793065142825279E-2</v>
      </c>
      <c r="J95" s="460">
        <f t="shared" si="45"/>
        <v>1.2830025558712715E-2</v>
      </c>
      <c r="K95" s="159">
        <f>AVERAGE(G95:J95)</f>
        <v>1.2700921403964201E-2</v>
      </c>
      <c r="M95" s="287"/>
      <c r="N95" s="287"/>
      <c r="O95" s="285"/>
      <c r="P95" s="285"/>
    </row>
    <row r="96" spans="1:16" ht="17" thickBot="1">
      <c r="A96" s="655"/>
      <c r="B96" s="162" t="s">
        <v>235</v>
      </c>
      <c r="C96" s="189">
        <f>C94/-C91</f>
        <v>1.3921147531139282</v>
      </c>
      <c r="D96" s="164">
        <f>D94/-D91</f>
        <v>1.1201928591686887</v>
      </c>
      <c r="E96" s="164">
        <f t="shared" ref="E96:F96" si="46">E94/-E91</f>
        <v>1.1983173076923077</v>
      </c>
      <c r="F96" s="164">
        <f t="shared" si="46"/>
        <v>1.1986754966887416</v>
      </c>
      <c r="G96" s="272">
        <f>AVERAGE(D96:F96)</f>
        <v>1.172395221183246</v>
      </c>
      <c r="H96" s="183">
        <f>G96</f>
        <v>1.172395221183246</v>
      </c>
      <c r="I96" s="183">
        <f t="shared" ref="I96:J96" si="47">H96</f>
        <v>1.172395221183246</v>
      </c>
      <c r="J96" s="183">
        <f t="shared" si="47"/>
        <v>1.172395221183246</v>
      </c>
      <c r="K96" s="184">
        <f>J96</f>
        <v>1.172395221183246</v>
      </c>
      <c r="L96" s="89" t="s">
        <v>234</v>
      </c>
      <c r="M96" s="289"/>
      <c r="N96" s="289"/>
      <c r="O96" s="285"/>
      <c r="P96" s="285"/>
    </row>
    <row r="97" spans="1:16">
      <c r="A97" s="89"/>
      <c r="B97" s="89"/>
      <c r="C97" s="89"/>
      <c r="D97" s="185"/>
      <c r="E97" s="185"/>
      <c r="F97" s="185"/>
      <c r="G97" s="186"/>
      <c r="H97" s="89"/>
      <c r="I97" s="89"/>
      <c r="J97" s="89"/>
      <c r="K97" s="89"/>
      <c r="L97" s="285"/>
      <c r="M97" s="285"/>
      <c r="N97" s="292"/>
      <c r="O97" s="285"/>
      <c r="P97" s="285"/>
    </row>
    <row r="98" spans="1:16" ht="45" customHeight="1">
      <c r="L98" s="285"/>
      <c r="M98" s="285"/>
      <c r="N98" s="292"/>
      <c r="O98" s="285"/>
      <c r="P98" s="285"/>
    </row>
    <row r="99" spans="1:16" ht="34" customHeight="1">
      <c r="L99" s="285"/>
      <c r="M99" s="285"/>
      <c r="N99" s="290"/>
      <c r="O99" s="285"/>
      <c r="P99" s="285"/>
    </row>
    <row r="100" spans="1:16">
      <c r="A100" s="285"/>
      <c r="B100" s="648"/>
      <c r="C100" s="648"/>
      <c r="D100" s="648"/>
      <c r="E100" s="648"/>
      <c r="F100" s="648"/>
      <c r="G100" s="648"/>
      <c r="H100" s="648"/>
      <c r="I100" s="648"/>
      <c r="J100" s="287"/>
      <c r="K100" s="287"/>
      <c r="L100" s="285"/>
      <c r="M100" s="285"/>
      <c r="N100" s="291"/>
      <c r="O100" s="285"/>
      <c r="P100" s="285"/>
    </row>
    <row r="101" spans="1:16" ht="409.5" customHeight="1">
      <c r="A101" s="285"/>
      <c r="B101" s="288"/>
      <c r="C101" s="288"/>
      <c r="D101" s="288"/>
      <c r="E101" s="288"/>
      <c r="F101" s="289"/>
      <c r="G101" s="289"/>
      <c r="H101" s="289"/>
      <c r="I101" s="289"/>
      <c r="J101" s="289"/>
      <c r="K101" s="289"/>
      <c r="N101" s="291"/>
      <c r="O101" s="285"/>
      <c r="P101" s="285"/>
    </row>
    <row r="102" spans="1:16">
      <c r="A102" s="285"/>
      <c r="B102" s="156"/>
      <c r="C102" s="156"/>
      <c r="D102" s="156"/>
      <c r="E102" s="156"/>
      <c r="F102" s="156"/>
      <c r="G102" s="156"/>
      <c r="H102" s="156"/>
      <c r="I102" s="285"/>
      <c r="J102" s="285"/>
      <c r="K102" s="285"/>
      <c r="N102" s="290"/>
      <c r="O102" s="285"/>
      <c r="P102" s="285"/>
    </row>
    <row r="103" spans="1:16">
      <c r="A103" s="285"/>
      <c r="B103" s="156"/>
      <c r="C103" s="156"/>
      <c r="D103" s="156"/>
      <c r="E103" s="156"/>
      <c r="F103" s="156"/>
      <c r="G103" s="156"/>
      <c r="H103" s="156"/>
      <c r="I103" s="285"/>
      <c r="J103" s="285"/>
      <c r="K103" s="285"/>
      <c r="N103" s="290"/>
    </row>
    <row r="104" spans="1:16">
      <c r="A104" s="285"/>
      <c r="B104" s="156"/>
      <c r="C104" s="156"/>
      <c r="D104" s="156"/>
      <c r="E104" s="156"/>
      <c r="F104" s="156"/>
      <c r="G104" s="156"/>
      <c r="H104" s="156"/>
      <c r="I104" s="285"/>
      <c r="J104" s="285"/>
      <c r="K104" s="285"/>
      <c r="N104" s="290"/>
    </row>
    <row r="105" spans="1:16">
      <c r="A105" s="285"/>
      <c r="B105" s="156"/>
      <c r="C105" s="156"/>
      <c r="D105" s="156"/>
      <c r="E105" s="156"/>
      <c r="F105" s="156"/>
      <c r="G105" s="156"/>
      <c r="H105" s="156"/>
      <c r="I105" s="285"/>
      <c r="J105" s="285"/>
      <c r="K105" s="285"/>
      <c r="N105" s="291"/>
    </row>
    <row r="106" spans="1:16">
      <c r="N106" s="290"/>
    </row>
    <row r="107" spans="1:16">
      <c r="N107" s="290"/>
    </row>
    <row r="108" spans="1:16">
      <c r="N108" s="290"/>
    </row>
    <row r="109" spans="1:16">
      <c r="N109" s="290"/>
    </row>
    <row r="110" spans="1:16">
      <c r="N110" s="285"/>
    </row>
    <row r="111" spans="1:16">
      <c r="N111" s="285"/>
    </row>
    <row r="112" spans="1:16">
      <c r="N112" s="285"/>
    </row>
    <row r="113" spans="14:14">
      <c r="N113" s="285"/>
    </row>
    <row r="114" spans="14:14">
      <c r="N114" s="285"/>
    </row>
    <row r="115" spans="14:14">
      <c r="N115" s="293"/>
    </row>
    <row r="116" spans="14:14">
      <c r="N116" s="294"/>
    </row>
    <row r="117" spans="14:14">
      <c r="N117" s="297"/>
    </row>
    <row r="118" spans="14:14">
      <c r="N118" s="285"/>
    </row>
    <row r="119" spans="14:14">
      <c r="N119" s="285"/>
    </row>
    <row r="120" spans="14:14">
      <c r="N120" s="285"/>
    </row>
    <row r="121" spans="14:14">
      <c r="N121" s="285"/>
    </row>
    <row r="122" spans="14:14">
      <c r="N122" s="285"/>
    </row>
    <row r="123" spans="14:14">
      <c r="N123" s="285"/>
    </row>
    <row r="124" spans="14:14">
      <c r="N124" s="285"/>
    </row>
    <row r="125" spans="14:14">
      <c r="N125" s="285"/>
    </row>
    <row r="126" spans="14:14">
      <c r="N126" s="285"/>
    </row>
    <row r="127" spans="14:14">
      <c r="N127" s="285"/>
    </row>
    <row r="128" spans="14:14">
      <c r="N128" s="285"/>
    </row>
    <row r="129" spans="14:14">
      <c r="N129" s="285"/>
    </row>
    <row r="130" spans="14:14">
      <c r="N130" s="285"/>
    </row>
    <row r="131" spans="14:14">
      <c r="N131" s="285"/>
    </row>
    <row r="132" spans="14:14">
      <c r="N132" s="285"/>
    </row>
    <row r="133" spans="14:14">
      <c r="N133" s="285"/>
    </row>
    <row r="134" spans="14:14">
      <c r="N134" s="285"/>
    </row>
  </sheetData>
  <mergeCells count="12">
    <mergeCell ref="A63:A67"/>
    <mergeCell ref="A56:A60"/>
    <mergeCell ref="C47:C52"/>
    <mergeCell ref="B100:I100"/>
    <mergeCell ref="B3:K3"/>
    <mergeCell ref="D4:F4"/>
    <mergeCell ref="G4:K4"/>
    <mergeCell ref="A91:A96"/>
    <mergeCell ref="J34:L35"/>
    <mergeCell ref="J28:L29"/>
    <mergeCell ref="A73:A89"/>
    <mergeCell ref="A69:A70"/>
  </mergeCells>
  <conditionalFormatting sqref="E43:F43">
    <cfRule type="expression" dxfId="1" priority="10">
      <formula>$G$42="BUY"</formula>
    </cfRule>
    <cfRule type="expression" dxfId="0" priority="11">
      <formula>$G$42="SELL"</formula>
    </cfRule>
  </conditionalFormatting>
  <conditionalFormatting sqref="E47:I52">
    <cfRule type="colorScale" priority="1">
      <colorScale>
        <cfvo type="num" val="73.239999999999995"/>
        <cfvo type="num" val="73.239999999999995"/>
        <cfvo type="num" val="73.239999999999995"/>
        <color rgb="FFFF0000"/>
        <color rgb="FFFFEB84"/>
        <color rgb="FF92D050"/>
      </colorScale>
    </cfRule>
    <cfRule type="colorScale" priority="2">
      <colorScale>
        <cfvo type="min"/>
        <cfvo type="num" val="73.239999999999995"/>
        <cfvo type="max"/>
        <color rgb="FFFF0000"/>
        <color rgb="FFFFEB84"/>
        <color rgb="FF92D05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EA59-7C89-0E4F-8FB6-EFDBEE40DC23}">
  <sheetPr>
    <outlinePr summaryBelow="0" summaryRight="0"/>
  </sheetPr>
  <dimension ref="A1:G22"/>
  <sheetViews>
    <sheetView workbookViewId="0">
      <selection activeCell="H17" sqref="H17"/>
    </sheetView>
  </sheetViews>
  <sheetFormatPr baseColWidth="10" defaultColWidth="9.1640625" defaultRowHeight="15" customHeight="1"/>
  <cols>
    <col min="1" max="1" width="29.83203125" style="105" customWidth="1"/>
    <col min="2" max="6" width="9.1640625" style="105" customWidth="1"/>
    <col min="7" max="16384" width="9.1640625" style="105"/>
  </cols>
  <sheetData>
    <row r="1" spans="1:6" ht="15" customHeight="1">
      <c r="A1" s="133" t="s">
        <v>121</v>
      </c>
    </row>
    <row r="2" spans="1:6" ht="15" customHeight="1">
      <c r="A2" s="133" t="s">
        <v>122</v>
      </c>
    </row>
    <row r="3" spans="1:6" ht="15" customHeight="1">
      <c r="A3" s="199"/>
      <c r="B3" s="199" t="s">
        <v>5</v>
      </c>
      <c r="C3" s="199" t="s">
        <v>4</v>
      </c>
      <c r="D3" s="199" t="s">
        <v>3</v>
      </c>
      <c r="E3" s="199" t="s">
        <v>2</v>
      </c>
      <c r="F3" s="199" t="s">
        <v>1</v>
      </c>
    </row>
    <row r="4" spans="1:6" ht="15" customHeight="1">
      <c r="A4" s="108" t="s">
        <v>123</v>
      </c>
      <c r="B4" s="121">
        <v>51297.843000000001</v>
      </c>
      <c r="C4" s="121">
        <v>68636.145999999993</v>
      </c>
      <c r="D4" s="121">
        <v>76324.675000000003</v>
      </c>
      <c r="E4" s="121">
        <v>78844</v>
      </c>
      <c r="F4" s="121">
        <v>81370</v>
      </c>
    </row>
    <row r="5" spans="1:6" ht="15" customHeight="1">
      <c r="A5" s="197" t="s">
        <v>124</v>
      </c>
      <c r="B5" s="202">
        <v>35724.843000000001</v>
      </c>
      <c r="C5" s="202">
        <v>48520.561999999998</v>
      </c>
      <c r="D5" s="202">
        <v>53682.894</v>
      </c>
      <c r="E5" s="202">
        <v>55339</v>
      </c>
      <c r="F5" s="202">
        <v>56965</v>
      </c>
    </row>
    <row r="6" spans="1:6" ht="15" customHeight="1">
      <c r="A6" s="108" t="s">
        <v>125</v>
      </c>
      <c r="B6" s="121">
        <v>8350.6380000000008</v>
      </c>
      <c r="C6" s="121">
        <v>11787.449000000001</v>
      </c>
      <c r="D6" s="121">
        <v>13559.61</v>
      </c>
      <c r="E6" s="121">
        <v>14561</v>
      </c>
      <c r="F6" s="121">
        <v>14905</v>
      </c>
    </row>
    <row r="7" spans="1:6" ht="15" customHeight="1">
      <c r="A7" s="197" t="s">
        <v>126</v>
      </c>
      <c r="B7" s="202">
        <v>6498.6009999999997</v>
      </c>
      <c r="C7" s="202">
        <v>7245.8239999999996</v>
      </c>
      <c r="D7" s="202">
        <v>7843.1109999999999</v>
      </c>
      <c r="E7" s="202">
        <v>7768</v>
      </c>
      <c r="F7" s="202">
        <v>8410</v>
      </c>
    </row>
    <row r="8" spans="1:6" ht="15" customHeight="1">
      <c r="A8" s="108" t="s">
        <v>127</v>
      </c>
      <c r="B8" s="121">
        <v>723.76099999999997</v>
      </c>
      <c r="C8" s="121">
        <v>1082.3109999999999</v>
      </c>
      <c r="D8" s="121">
        <v>1239.06</v>
      </c>
      <c r="E8" s="121">
        <v>1176</v>
      </c>
      <c r="F8" s="121">
        <v>1090</v>
      </c>
    </row>
    <row r="9" spans="1:6" ht="15" customHeight="1">
      <c r="A9" s="201" t="s">
        <v>128</v>
      </c>
      <c r="B9" s="201" t="s">
        <v>41</v>
      </c>
      <c r="C9" s="201" t="s">
        <v>41</v>
      </c>
      <c r="D9" s="201" t="s">
        <v>41</v>
      </c>
      <c r="E9" s="201" t="s">
        <v>41</v>
      </c>
      <c r="F9" s="201" t="s">
        <v>41</v>
      </c>
    </row>
    <row r="10" spans="1:6" ht="15" customHeight="1">
      <c r="A10" s="112"/>
      <c r="B10" s="112"/>
      <c r="C10" s="112"/>
      <c r="D10" s="112"/>
      <c r="E10" s="112"/>
      <c r="F10" s="112"/>
    </row>
    <row r="11" spans="1:6" ht="15" customHeight="1">
      <c r="A11" s="133" t="s">
        <v>129</v>
      </c>
      <c r="C11" s="200"/>
    </row>
    <row r="12" spans="1:6" ht="15" customHeight="1">
      <c r="A12" s="199"/>
      <c r="B12" s="199" t="s">
        <v>5</v>
      </c>
      <c r="C12" s="199" t="s">
        <v>4</v>
      </c>
      <c r="D12" s="199" t="s">
        <v>3</v>
      </c>
      <c r="E12" s="199" t="s">
        <v>2</v>
      </c>
      <c r="F12" s="199" t="s">
        <v>1</v>
      </c>
    </row>
    <row r="13" spans="1:6" ht="15" customHeight="1">
      <c r="A13" s="197" t="s">
        <v>123</v>
      </c>
      <c r="B13" s="196"/>
      <c r="C13" s="195">
        <f t="shared" ref="C13:F17" si="0">C4/B4-1</f>
        <v>0.33799282749569004</v>
      </c>
      <c r="D13" s="195">
        <f t="shared" si="0"/>
        <v>0.11201865850684589</v>
      </c>
      <c r="E13" s="195">
        <f t="shared" si="0"/>
        <v>3.3008001671805287E-2</v>
      </c>
      <c r="F13" s="195">
        <f t="shared" si="0"/>
        <v>3.203794835371121E-2</v>
      </c>
    </row>
    <row r="14" spans="1:6" ht="15" customHeight="1">
      <c r="A14" s="108" t="s">
        <v>124</v>
      </c>
      <c r="B14" s="115"/>
      <c r="C14" s="198">
        <f t="shared" si="0"/>
        <v>0.35817425425774441</v>
      </c>
      <c r="D14" s="198">
        <f t="shared" si="0"/>
        <v>0.10639472807425432</v>
      </c>
      <c r="E14" s="198">
        <f t="shared" si="0"/>
        <v>3.0849789879062728E-2</v>
      </c>
      <c r="F14" s="198">
        <f t="shared" si="0"/>
        <v>2.9382533114078679E-2</v>
      </c>
    </row>
    <row r="15" spans="1:6" ht="15" customHeight="1">
      <c r="A15" s="197" t="s">
        <v>125</v>
      </c>
      <c r="B15" s="196"/>
      <c r="C15" s="195">
        <f t="shared" si="0"/>
        <v>0.41156268539002649</v>
      </c>
      <c r="D15" s="195">
        <f t="shared" si="0"/>
        <v>0.15034304708338508</v>
      </c>
      <c r="E15" s="195">
        <f t="shared" si="0"/>
        <v>7.3850944090574799E-2</v>
      </c>
      <c r="F15" s="195">
        <f t="shared" si="0"/>
        <v>2.3624751047318204E-2</v>
      </c>
    </row>
    <row r="16" spans="1:6" ht="15" customHeight="1">
      <c r="A16" s="108" t="s">
        <v>126</v>
      </c>
      <c r="B16" s="114"/>
      <c r="C16" s="198">
        <f t="shared" si="0"/>
        <v>0.114982132308169</v>
      </c>
      <c r="D16" s="198">
        <f t="shared" si="0"/>
        <v>8.2431894564372499E-2</v>
      </c>
      <c r="E16" s="198">
        <f t="shared" si="0"/>
        <v>-9.5766845579515758E-3</v>
      </c>
      <c r="F16" s="198">
        <f t="shared" si="0"/>
        <v>8.2646755921730097E-2</v>
      </c>
    </row>
    <row r="17" spans="1:7" ht="15" customHeight="1">
      <c r="A17" s="197" t="s">
        <v>127</v>
      </c>
      <c r="B17" s="196"/>
      <c r="C17" s="195">
        <f t="shared" si="0"/>
        <v>0.49539834282311412</v>
      </c>
      <c r="D17" s="195">
        <f t="shared" si="0"/>
        <v>0.14482805773941143</v>
      </c>
      <c r="E17" s="195">
        <f t="shared" si="0"/>
        <v>-5.0893419204881107E-2</v>
      </c>
      <c r="F17" s="195">
        <f t="shared" si="0"/>
        <v>-7.3129251700680298E-2</v>
      </c>
    </row>
    <row r="18" spans="1:7" ht="15" customHeight="1">
      <c r="A18" s="112" t="s">
        <v>128</v>
      </c>
      <c r="B18" s="112" t="s">
        <v>41</v>
      </c>
      <c r="C18" s="112" t="s">
        <v>41</v>
      </c>
      <c r="D18" s="112" t="s">
        <v>41</v>
      </c>
      <c r="E18" s="112" t="s">
        <v>41</v>
      </c>
      <c r="F18" s="112" t="s">
        <v>41</v>
      </c>
    </row>
    <row r="19" spans="1:7" ht="15" customHeight="1">
      <c r="A19" s="112"/>
      <c r="B19" s="112"/>
      <c r="C19" s="112"/>
      <c r="D19" s="112"/>
      <c r="E19" s="112"/>
      <c r="F19" s="112"/>
    </row>
    <row r="20" spans="1:7" ht="15" customHeight="1">
      <c r="A20" s="133" t="s">
        <v>130</v>
      </c>
      <c r="B20" s="133" t="s">
        <v>131</v>
      </c>
      <c r="C20" s="133" t="s">
        <v>132</v>
      </c>
      <c r="D20" s="133" t="s">
        <v>133</v>
      </c>
      <c r="E20" s="133" t="s">
        <v>134</v>
      </c>
      <c r="F20" s="133" t="s">
        <v>135</v>
      </c>
    </row>
    <row r="21" spans="1:7" ht="15" customHeight="1">
      <c r="A21" s="105" t="s">
        <v>136</v>
      </c>
      <c r="B21" s="208">
        <v>0.04</v>
      </c>
      <c r="C21" s="437">
        <v>4.4999999999999998E-2</v>
      </c>
      <c r="D21" s="437">
        <v>4.4999999999999998E-2</v>
      </c>
      <c r="E21" s="437">
        <v>4.4999999999999998E-2</v>
      </c>
      <c r="F21" s="437">
        <v>4.4999999999999998E-2</v>
      </c>
      <c r="G21" s="75" t="s">
        <v>630</v>
      </c>
    </row>
    <row r="22" spans="1:7" ht="15" customHeight="1">
      <c r="A22" s="105" t="s">
        <v>137</v>
      </c>
      <c r="B22" s="105">
        <v>0</v>
      </c>
      <c r="C22" s="209">
        <v>8000</v>
      </c>
      <c r="D22" s="209">
        <v>16000</v>
      </c>
      <c r="E22" s="215">
        <f>D22*(1+E21)</f>
        <v>16720</v>
      </c>
      <c r="F22" s="215">
        <f>E22*(1+F21)</f>
        <v>17472.399999999998</v>
      </c>
      <c r="G22" s="105" t="s">
        <v>138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28F5B-FBC5-EF4F-B022-6F3795179A1B}">
  <dimension ref="A1:AL89"/>
  <sheetViews>
    <sheetView zoomScale="25" workbookViewId="0">
      <selection activeCell="AI19" sqref="AI19"/>
    </sheetView>
  </sheetViews>
  <sheetFormatPr baseColWidth="10" defaultColWidth="9.1640625" defaultRowHeight="13" zeroHeight="1" outlineLevelRow="3"/>
  <cols>
    <col min="1" max="1" width="30.5" style="105" customWidth="1"/>
    <col min="2" max="2" width="17.83203125" style="105" bestFit="1" customWidth="1"/>
    <col min="3" max="3" width="22.83203125" style="105" customWidth="1"/>
    <col min="4" max="4" width="13.83203125" style="105" customWidth="1"/>
    <col min="5" max="5" width="12.83203125" style="105" customWidth="1"/>
    <col min="6" max="6" width="10.83203125" style="105" bestFit="1" customWidth="1"/>
    <col min="7" max="7" width="8.5" style="105" customWidth="1"/>
    <col min="8" max="8" width="10.5" style="105" customWidth="1"/>
    <col min="9" max="13" width="8.5" style="105" customWidth="1"/>
    <col min="14" max="14" width="11.1640625" style="105" customWidth="1"/>
    <col min="15" max="15" width="8.5" style="105" customWidth="1"/>
    <col min="16" max="20" width="9.1640625" style="105"/>
    <col min="21" max="21" width="12.1640625" style="105" bestFit="1" customWidth="1"/>
    <col min="22" max="32" width="9.1640625" style="105"/>
    <col min="33" max="33" width="32.83203125" style="105" bestFit="1" customWidth="1"/>
    <col min="34" max="34" width="19.33203125" style="105" customWidth="1"/>
    <col min="35" max="35" width="9.1640625" style="105"/>
    <col min="36" max="36" width="32.83203125" style="105" bestFit="1" customWidth="1"/>
    <col min="37" max="257" width="9.1640625" style="105"/>
    <col min="258" max="258" width="17.83203125" style="105" bestFit="1" customWidth="1"/>
    <col min="259" max="259" width="22.83203125" style="105" customWidth="1"/>
    <col min="260" max="261" width="8.5" style="105" customWidth="1"/>
    <col min="262" max="262" width="10" style="105" customWidth="1"/>
    <col min="263" max="263" width="8.5" style="105" customWidth="1"/>
    <col min="264" max="264" width="10.5" style="105" customWidth="1"/>
    <col min="265" max="271" width="8.5" style="105" customWidth="1"/>
    <col min="272" max="513" width="9.1640625" style="105"/>
    <col min="514" max="514" width="17.83203125" style="105" bestFit="1" customWidth="1"/>
    <col min="515" max="515" width="22.83203125" style="105" customWidth="1"/>
    <col min="516" max="517" width="8.5" style="105" customWidth="1"/>
    <col min="518" max="518" width="10" style="105" customWidth="1"/>
    <col min="519" max="519" width="8.5" style="105" customWidth="1"/>
    <col min="520" max="520" width="10.5" style="105" customWidth="1"/>
    <col min="521" max="527" width="8.5" style="105" customWidth="1"/>
    <col min="528" max="769" width="9.1640625" style="105"/>
    <col min="770" max="770" width="17.83203125" style="105" bestFit="1" customWidth="1"/>
    <col min="771" max="771" width="22.83203125" style="105" customWidth="1"/>
    <col min="772" max="773" width="8.5" style="105" customWidth="1"/>
    <col min="774" max="774" width="10" style="105" customWidth="1"/>
    <col min="775" max="775" width="8.5" style="105" customWidth="1"/>
    <col min="776" max="776" width="10.5" style="105" customWidth="1"/>
    <col min="777" max="783" width="8.5" style="105" customWidth="1"/>
    <col min="784" max="1025" width="9.1640625" style="105"/>
    <col min="1026" max="1026" width="17.83203125" style="105" bestFit="1" customWidth="1"/>
    <col min="1027" max="1027" width="22.83203125" style="105" customWidth="1"/>
    <col min="1028" max="1029" width="8.5" style="105" customWidth="1"/>
    <col min="1030" max="1030" width="10" style="105" customWidth="1"/>
    <col min="1031" max="1031" width="8.5" style="105" customWidth="1"/>
    <col min="1032" max="1032" width="10.5" style="105" customWidth="1"/>
    <col min="1033" max="1039" width="8.5" style="105" customWidth="1"/>
    <col min="1040" max="1281" width="9.1640625" style="105"/>
    <col min="1282" max="1282" width="17.83203125" style="105" bestFit="1" customWidth="1"/>
    <col min="1283" max="1283" width="22.83203125" style="105" customWidth="1"/>
    <col min="1284" max="1285" width="8.5" style="105" customWidth="1"/>
    <col min="1286" max="1286" width="10" style="105" customWidth="1"/>
    <col min="1287" max="1287" width="8.5" style="105" customWidth="1"/>
    <col min="1288" max="1288" width="10.5" style="105" customWidth="1"/>
    <col min="1289" max="1295" width="8.5" style="105" customWidth="1"/>
    <col min="1296" max="1537" width="9.1640625" style="105"/>
    <col min="1538" max="1538" width="17.83203125" style="105" bestFit="1" customWidth="1"/>
    <col min="1539" max="1539" width="22.83203125" style="105" customWidth="1"/>
    <col min="1540" max="1541" width="8.5" style="105" customWidth="1"/>
    <col min="1542" max="1542" width="10" style="105" customWidth="1"/>
    <col min="1543" max="1543" width="8.5" style="105" customWidth="1"/>
    <col min="1544" max="1544" width="10.5" style="105" customWidth="1"/>
    <col min="1545" max="1551" width="8.5" style="105" customWidth="1"/>
    <col min="1552" max="1793" width="9.1640625" style="105"/>
    <col min="1794" max="1794" width="17.83203125" style="105" bestFit="1" customWidth="1"/>
    <col min="1795" max="1795" width="22.83203125" style="105" customWidth="1"/>
    <col min="1796" max="1797" width="8.5" style="105" customWidth="1"/>
    <col min="1798" max="1798" width="10" style="105" customWidth="1"/>
    <col min="1799" max="1799" width="8.5" style="105" customWidth="1"/>
    <col min="1800" max="1800" width="10.5" style="105" customWidth="1"/>
    <col min="1801" max="1807" width="8.5" style="105" customWidth="1"/>
    <col min="1808" max="2049" width="9.1640625" style="105"/>
    <col min="2050" max="2050" width="17.83203125" style="105" bestFit="1" customWidth="1"/>
    <col min="2051" max="2051" width="22.83203125" style="105" customWidth="1"/>
    <col min="2052" max="2053" width="8.5" style="105" customWidth="1"/>
    <col min="2054" max="2054" width="10" style="105" customWidth="1"/>
    <col min="2055" max="2055" width="8.5" style="105" customWidth="1"/>
    <col min="2056" max="2056" width="10.5" style="105" customWidth="1"/>
    <col min="2057" max="2063" width="8.5" style="105" customWidth="1"/>
    <col min="2064" max="2305" width="9.1640625" style="105"/>
    <col min="2306" max="2306" width="17.83203125" style="105" bestFit="1" customWidth="1"/>
    <col min="2307" max="2307" width="22.83203125" style="105" customWidth="1"/>
    <col min="2308" max="2309" width="8.5" style="105" customWidth="1"/>
    <col min="2310" max="2310" width="10" style="105" customWidth="1"/>
    <col min="2311" max="2311" width="8.5" style="105" customWidth="1"/>
    <col min="2312" max="2312" width="10.5" style="105" customWidth="1"/>
    <col min="2313" max="2319" width="8.5" style="105" customWidth="1"/>
    <col min="2320" max="2561" width="9.1640625" style="105"/>
    <col min="2562" max="2562" width="17.83203125" style="105" bestFit="1" customWidth="1"/>
    <col min="2563" max="2563" width="22.83203125" style="105" customWidth="1"/>
    <col min="2564" max="2565" width="8.5" style="105" customWidth="1"/>
    <col min="2566" max="2566" width="10" style="105" customWidth="1"/>
    <col min="2567" max="2567" width="8.5" style="105" customWidth="1"/>
    <col min="2568" max="2568" width="10.5" style="105" customWidth="1"/>
    <col min="2569" max="2575" width="8.5" style="105" customWidth="1"/>
    <col min="2576" max="2817" width="9.1640625" style="105"/>
    <col min="2818" max="2818" width="17.83203125" style="105" bestFit="1" customWidth="1"/>
    <col min="2819" max="2819" width="22.83203125" style="105" customWidth="1"/>
    <col min="2820" max="2821" width="8.5" style="105" customWidth="1"/>
    <col min="2822" max="2822" width="10" style="105" customWidth="1"/>
    <col min="2823" max="2823" width="8.5" style="105" customWidth="1"/>
    <col min="2824" max="2824" width="10.5" style="105" customWidth="1"/>
    <col min="2825" max="2831" width="8.5" style="105" customWidth="1"/>
    <col min="2832" max="3073" width="9.1640625" style="105"/>
    <col min="3074" max="3074" width="17.83203125" style="105" bestFit="1" customWidth="1"/>
    <col min="3075" max="3075" width="22.83203125" style="105" customWidth="1"/>
    <col min="3076" max="3077" width="8.5" style="105" customWidth="1"/>
    <col min="3078" max="3078" width="10" style="105" customWidth="1"/>
    <col min="3079" max="3079" width="8.5" style="105" customWidth="1"/>
    <col min="3080" max="3080" width="10.5" style="105" customWidth="1"/>
    <col min="3081" max="3087" width="8.5" style="105" customWidth="1"/>
    <col min="3088" max="3329" width="9.1640625" style="105"/>
    <col min="3330" max="3330" width="17.83203125" style="105" bestFit="1" customWidth="1"/>
    <col min="3331" max="3331" width="22.83203125" style="105" customWidth="1"/>
    <col min="3332" max="3333" width="8.5" style="105" customWidth="1"/>
    <col min="3334" max="3334" width="10" style="105" customWidth="1"/>
    <col min="3335" max="3335" width="8.5" style="105" customWidth="1"/>
    <col min="3336" max="3336" width="10.5" style="105" customWidth="1"/>
    <col min="3337" max="3343" width="8.5" style="105" customWidth="1"/>
    <col min="3344" max="3585" width="9.1640625" style="105"/>
    <col min="3586" max="3586" width="17.83203125" style="105" bestFit="1" customWidth="1"/>
    <col min="3587" max="3587" width="22.83203125" style="105" customWidth="1"/>
    <col min="3588" max="3589" width="8.5" style="105" customWidth="1"/>
    <col min="3590" max="3590" width="10" style="105" customWidth="1"/>
    <col min="3591" max="3591" width="8.5" style="105" customWidth="1"/>
    <col min="3592" max="3592" width="10.5" style="105" customWidth="1"/>
    <col min="3593" max="3599" width="8.5" style="105" customWidth="1"/>
    <col min="3600" max="3841" width="9.1640625" style="105"/>
    <col min="3842" max="3842" width="17.83203125" style="105" bestFit="1" customWidth="1"/>
    <col min="3843" max="3843" width="22.83203125" style="105" customWidth="1"/>
    <col min="3844" max="3845" width="8.5" style="105" customWidth="1"/>
    <col min="3846" max="3846" width="10" style="105" customWidth="1"/>
    <col min="3847" max="3847" width="8.5" style="105" customWidth="1"/>
    <col min="3848" max="3848" width="10.5" style="105" customWidth="1"/>
    <col min="3849" max="3855" width="8.5" style="105" customWidth="1"/>
    <col min="3856" max="4097" width="9.1640625" style="105"/>
    <col min="4098" max="4098" width="17.83203125" style="105" bestFit="1" customWidth="1"/>
    <col min="4099" max="4099" width="22.83203125" style="105" customWidth="1"/>
    <col min="4100" max="4101" width="8.5" style="105" customWidth="1"/>
    <col min="4102" max="4102" width="10" style="105" customWidth="1"/>
    <col min="4103" max="4103" width="8.5" style="105" customWidth="1"/>
    <col min="4104" max="4104" width="10.5" style="105" customWidth="1"/>
    <col min="4105" max="4111" width="8.5" style="105" customWidth="1"/>
    <col min="4112" max="4353" width="9.1640625" style="105"/>
    <col min="4354" max="4354" width="17.83203125" style="105" bestFit="1" customWidth="1"/>
    <col min="4355" max="4355" width="22.83203125" style="105" customWidth="1"/>
    <col min="4356" max="4357" width="8.5" style="105" customWidth="1"/>
    <col min="4358" max="4358" width="10" style="105" customWidth="1"/>
    <col min="4359" max="4359" width="8.5" style="105" customWidth="1"/>
    <col min="4360" max="4360" width="10.5" style="105" customWidth="1"/>
    <col min="4361" max="4367" width="8.5" style="105" customWidth="1"/>
    <col min="4368" max="4609" width="9.1640625" style="105"/>
    <col min="4610" max="4610" width="17.83203125" style="105" bestFit="1" customWidth="1"/>
    <col min="4611" max="4611" width="22.83203125" style="105" customWidth="1"/>
    <col min="4612" max="4613" width="8.5" style="105" customWidth="1"/>
    <col min="4614" max="4614" width="10" style="105" customWidth="1"/>
    <col min="4615" max="4615" width="8.5" style="105" customWidth="1"/>
    <col min="4616" max="4616" width="10.5" style="105" customWidth="1"/>
    <col min="4617" max="4623" width="8.5" style="105" customWidth="1"/>
    <col min="4624" max="4865" width="9.1640625" style="105"/>
    <col min="4866" max="4866" width="17.83203125" style="105" bestFit="1" customWidth="1"/>
    <col min="4867" max="4867" width="22.83203125" style="105" customWidth="1"/>
    <col min="4868" max="4869" width="8.5" style="105" customWidth="1"/>
    <col min="4870" max="4870" width="10" style="105" customWidth="1"/>
    <col min="4871" max="4871" width="8.5" style="105" customWidth="1"/>
    <col min="4872" max="4872" width="10.5" style="105" customWidth="1"/>
    <col min="4873" max="4879" width="8.5" style="105" customWidth="1"/>
    <col min="4880" max="5121" width="9.1640625" style="105"/>
    <col min="5122" max="5122" width="17.83203125" style="105" bestFit="1" customWidth="1"/>
    <col min="5123" max="5123" width="22.83203125" style="105" customWidth="1"/>
    <col min="5124" max="5125" width="8.5" style="105" customWidth="1"/>
    <col min="5126" max="5126" width="10" style="105" customWidth="1"/>
    <col min="5127" max="5127" width="8.5" style="105" customWidth="1"/>
    <col min="5128" max="5128" width="10.5" style="105" customWidth="1"/>
    <col min="5129" max="5135" width="8.5" style="105" customWidth="1"/>
    <col min="5136" max="5377" width="9.1640625" style="105"/>
    <col min="5378" max="5378" width="17.83203125" style="105" bestFit="1" customWidth="1"/>
    <col min="5379" max="5379" width="22.83203125" style="105" customWidth="1"/>
    <col min="5380" max="5381" width="8.5" style="105" customWidth="1"/>
    <col min="5382" max="5382" width="10" style="105" customWidth="1"/>
    <col min="5383" max="5383" width="8.5" style="105" customWidth="1"/>
    <col min="5384" max="5384" width="10.5" style="105" customWidth="1"/>
    <col min="5385" max="5391" width="8.5" style="105" customWidth="1"/>
    <col min="5392" max="5633" width="9.1640625" style="105"/>
    <col min="5634" max="5634" width="17.83203125" style="105" bestFit="1" customWidth="1"/>
    <col min="5635" max="5635" width="22.83203125" style="105" customWidth="1"/>
    <col min="5636" max="5637" width="8.5" style="105" customWidth="1"/>
    <col min="5638" max="5638" width="10" style="105" customWidth="1"/>
    <col min="5639" max="5639" width="8.5" style="105" customWidth="1"/>
    <col min="5640" max="5640" width="10.5" style="105" customWidth="1"/>
    <col min="5641" max="5647" width="8.5" style="105" customWidth="1"/>
    <col min="5648" max="5889" width="9.1640625" style="105"/>
    <col min="5890" max="5890" width="17.83203125" style="105" bestFit="1" customWidth="1"/>
    <col min="5891" max="5891" width="22.83203125" style="105" customWidth="1"/>
    <col min="5892" max="5893" width="8.5" style="105" customWidth="1"/>
    <col min="5894" max="5894" width="10" style="105" customWidth="1"/>
    <col min="5895" max="5895" width="8.5" style="105" customWidth="1"/>
    <col min="5896" max="5896" width="10.5" style="105" customWidth="1"/>
    <col min="5897" max="5903" width="8.5" style="105" customWidth="1"/>
    <col min="5904" max="6145" width="9.1640625" style="105"/>
    <col min="6146" max="6146" width="17.83203125" style="105" bestFit="1" customWidth="1"/>
    <col min="6147" max="6147" width="22.83203125" style="105" customWidth="1"/>
    <col min="6148" max="6149" width="8.5" style="105" customWidth="1"/>
    <col min="6150" max="6150" width="10" style="105" customWidth="1"/>
    <col min="6151" max="6151" width="8.5" style="105" customWidth="1"/>
    <col min="6152" max="6152" width="10.5" style="105" customWidth="1"/>
    <col min="6153" max="6159" width="8.5" style="105" customWidth="1"/>
    <col min="6160" max="6401" width="9.1640625" style="105"/>
    <col min="6402" max="6402" width="17.83203125" style="105" bestFit="1" customWidth="1"/>
    <col min="6403" max="6403" width="22.83203125" style="105" customWidth="1"/>
    <col min="6404" max="6405" width="8.5" style="105" customWidth="1"/>
    <col min="6406" max="6406" width="10" style="105" customWidth="1"/>
    <col min="6407" max="6407" width="8.5" style="105" customWidth="1"/>
    <col min="6408" max="6408" width="10.5" style="105" customWidth="1"/>
    <col min="6409" max="6415" width="8.5" style="105" customWidth="1"/>
    <col min="6416" max="6657" width="9.1640625" style="105"/>
    <col min="6658" max="6658" width="17.83203125" style="105" bestFit="1" customWidth="1"/>
    <col min="6659" max="6659" width="22.83203125" style="105" customWidth="1"/>
    <col min="6660" max="6661" width="8.5" style="105" customWidth="1"/>
    <col min="6662" max="6662" width="10" style="105" customWidth="1"/>
    <col min="6663" max="6663" width="8.5" style="105" customWidth="1"/>
    <col min="6664" max="6664" width="10.5" style="105" customWidth="1"/>
    <col min="6665" max="6671" width="8.5" style="105" customWidth="1"/>
    <col min="6672" max="6913" width="9.1640625" style="105"/>
    <col min="6914" max="6914" width="17.83203125" style="105" bestFit="1" customWidth="1"/>
    <col min="6915" max="6915" width="22.83203125" style="105" customWidth="1"/>
    <col min="6916" max="6917" width="8.5" style="105" customWidth="1"/>
    <col min="6918" max="6918" width="10" style="105" customWidth="1"/>
    <col min="6919" max="6919" width="8.5" style="105" customWidth="1"/>
    <col min="6920" max="6920" width="10.5" style="105" customWidth="1"/>
    <col min="6921" max="6927" width="8.5" style="105" customWidth="1"/>
    <col min="6928" max="7169" width="9.1640625" style="105"/>
    <col min="7170" max="7170" width="17.83203125" style="105" bestFit="1" customWidth="1"/>
    <col min="7171" max="7171" width="22.83203125" style="105" customWidth="1"/>
    <col min="7172" max="7173" width="8.5" style="105" customWidth="1"/>
    <col min="7174" max="7174" width="10" style="105" customWidth="1"/>
    <col min="7175" max="7175" width="8.5" style="105" customWidth="1"/>
    <col min="7176" max="7176" width="10.5" style="105" customWidth="1"/>
    <col min="7177" max="7183" width="8.5" style="105" customWidth="1"/>
    <col min="7184" max="7425" width="9.1640625" style="105"/>
    <col min="7426" max="7426" width="17.83203125" style="105" bestFit="1" customWidth="1"/>
    <col min="7427" max="7427" width="22.83203125" style="105" customWidth="1"/>
    <col min="7428" max="7429" width="8.5" style="105" customWidth="1"/>
    <col min="7430" max="7430" width="10" style="105" customWidth="1"/>
    <col min="7431" max="7431" width="8.5" style="105" customWidth="1"/>
    <col min="7432" max="7432" width="10.5" style="105" customWidth="1"/>
    <col min="7433" max="7439" width="8.5" style="105" customWidth="1"/>
    <col min="7440" max="7681" width="9.1640625" style="105"/>
    <col min="7682" max="7682" width="17.83203125" style="105" bestFit="1" customWidth="1"/>
    <col min="7683" max="7683" width="22.83203125" style="105" customWidth="1"/>
    <col min="7684" max="7685" width="8.5" style="105" customWidth="1"/>
    <col min="7686" max="7686" width="10" style="105" customWidth="1"/>
    <col min="7687" max="7687" width="8.5" style="105" customWidth="1"/>
    <col min="7688" max="7688" width="10.5" style="105" customWidth="1"/>
    <col min="7689" max="7695" width="8.5" style="105" customWidth="1"/>
    <col min="7696" max="7937" width="9.1640625" style="105"/>
    <col min="7938" max="7938" width="17.83203125" style="105" bestFit="1" customWidth="1"/>
    <col min="7939" max="7939" width="22.83203125" style="105" customWidth="1"/>
    <col min="7940" max="7941" width="8.5" style="105" customWidth="1"/>
    <col min="7942" max="7942" width="10" style="105" customWidth="1"/>
    <col min="7943" max="7943" width="8.5" style="105" customWidth="1"/>
    <col min="7944" max="7944" width="10.5" style="105" customWidth="1"/>
    <col min="7945" max="7951" width="8.5" style="105" customWidth="1"/>
    <col min="7952" max="8193" width="9.1640625" style="105"/>
    <col min="8194" max="8194" width="17.83203125" style="105" bestFit="1" customWidth="1"/>
    <col min="8195" max="8195" width="22.83203125" style="105" customWidth="1"/>
    <col min="8196" max="8197" width="8.5" style="105" customWidth="1"/>
    <col min="8198" max="8198" width="10" style="105" customWidth="1"/>
    <col min="8199" max="8199" width="8.5" style="105" customWidth="1"/>
    <col min="8200" max="8200" width="10.5" style="105" customWidth="1"/>
    <col min="8201" max="8207" width="8.5" style="105" customWidth="1"/>
    <col min="8208" max="8449" width="9.1640625" style="105"/>
    <col min="8450" max="8450" width="17.83203125" style="105" bestFit="1" customWidth="1"/>
    <col min="8451" max="8451" width="22.83203125" style="105" customWidth="1"/>
    <col min="8452" max="8453" width="8.5" style="105" customWidth="1"/>
    <col min="8454" max="8454" width="10" style="105" customWidth="1"/>
    <col min="8455" max="8455" width="8.5" style="105" customWidth="1"/>
    <col min="8456" max="8456" width="10.5" style="105" customWidth="1"/>
    <col min="8457" max="8463" width="8.5" style="105" customWidth="1"/>
    <col min="8464" max="8705" width="9.1640625" style="105"/>
    <col min="8706" max="8706" width="17.83203125" style="105" bestFit="1" customWidth="1"/>
    <col min="8707" max="8707" width="22.83203125" style="105" customWidth="1"/>
    <col min="8708" max="8709" width="8.5" style="105" customWidth="1"/>
    <col min="8710" max="8710" width="10" style="105" customWidth="1"/>
    <col min="8711" max="8711" width="8.5" style="105" customWidth="1"/>
    <col min="8712" max="8712" width="10.5" style="105" customWidth="1"/>
    <col min="8713" max="8719" width="8.5" style="105" customWidth="1"/>
    <col min="8720" max="8961" width="9.1640625" style="105"/>
    <col min="8962" max="8962" width="17.83203125" style="105" bestFit="1" customWidth="1"/>
    <col min="8963" max="8963" width="22.83203125" style="105" customWidth="1"/>
    <col min="8964" max="8965" width="8.5" style="105" customWidth="1"/>
    <col min="8966" max="8966" width="10" style="105" customWidth="1"/>
    <col min="8967" max="8967" width="8.5" style="105" customWidth="1"/>
    <col min="8968" max="8968" width="10.5" style="105" customWidth="1"/>
    <col min="8969" max="8975" width="8.5" style="105" customWidth="1"/>
    <col min="8976" max="9217" width="9.1640625" style="105"/>
    <col min="9218" max="9218" width="17.83203125" style="105" bestFit="1" customWidth="1"/>
    <col min="9219" max="9219" width="22.83203125" style="105" customWidth="1"/>
    <col min="9220" max="9221" width="8.5" style="105" customWidth="1"/>
    <col min="9222" max="9222" width="10" style="105" customWidth="1"/>
    <col min="9223" max="9223" width="8.5" style="105" customWidth="1"/>
    <col min="9224" max="9224" width="10.5" style="105" customWidth="1"/>
    <col min="9225" max="9231" width="8.5" style="105" customWidth="1"/>
    <col min="9232" max="9473" width="9.1640625" style="105"/>
    <col min="9474" max="9474" width="17.83203125" style="105" bestFit="1" customWidth="1"/>
    <col min="9475" max="9475" width="22.83203125" style="105" customWidth="1"/>
    <col min="9476" max="9477" width="8.5" style="105" customWidth="1"/>
    <col min="9478" max="9478" width="10" style="105" customWidth="1"/>
    <col min="9479" max="9479" width="8.5" style="105" customWidth="1"/>
    <col min="9480" max="9480" width="10.5" style="105" customWidth="1"/>
    <col min="9481" max="9487" width="8.5" style="105" customWidth="1"/>
    <col min="9488" max="9729" width="9.1640625" style="105"/>
    <col min="9730" max="9730" width="17.83203125" style="105" bestFit="1" customWidth="1"/>
    <col min="9731" max="9731" width="22.83203125" style="105" customWidth="1"/>
    <col min="9732" max="9733" width="8.5" style="105" customWidth="1"/>
    <col min="9734" max="9734" width="10" style="105" customWidth="1"/>
    <col min="9735" max="9735" width="8.5" style="105" customWidth="1"/>
    <col min="9736" max="9736" width="10.5" style="105" customWidth="1"/>
    <col min="9737" max="9743" width="8.5" style="105" customWidth="1"/>
    <col min="9744" max="9985" width="9.1640625" style="105"/>
    <col min="9986" max="9986" width="17.83203125" style="105" bestFit="1" customWidth="1"/>
    <col min="9987" max="9987" width="22.83203125" style="105" customWidth="1"/>
    <col min="9988" max="9989" width="8.5" style="105" customWidth="1"/>
    <col min="9990" max="9990" width="10" style="105" customWidth="1"/>
    <col min="9991" max="9991" width="8.5" style="105" customWidth="1"/>
    <col min="9992" max="9992" width="10.5" style="105" customWidth="1"/>
    <col min="9993" max="9999" width="8.5" style="105" customWidth="1"/>
    <col min="10000" max="10241" width="9.1640625" style="105"/>
    <col min="10242" max="10242" width="17.83203125" style="105" bestFit="1" customWidth="1"/>
    <col min="10243" max="10243" width="22.83203125" style="105" customWidth="1"/>
    <col min="10244" max="10245" width="8.5" style="105" customWidth="1"/>
    <col min="10246" max="10246" width="10" style="105" customWidth="1"/>
    <col min="10247" max="10247" width="8.5" style="105" customWidth="1"/>
    <col min="10248" max="10248" width="10.5" style="105" customWidth="1"/>
    <col min="10249" max="10255" width="8.5" style="105" customWidth="1"/>
    <col min="10256" max="10497" width="9.1640625" style="105"/>
    <col min="10498" max="10498" width="17.83203125" style="105" bestFit="1" customWidth="1"/>
    <col min="10499" max="10499" width="22.83203125" style="105" customWidth="1"/>
    <col min="10500" max="10501" width="8.5" style="105" customWidth="1"/>
    <col min="10502" max="10502" width="10" style="105" customWidth="1"/>
    <col min="10503" max="10503" width="8.5" style="105" customWidth="1"/>
    <col min="10504" max="10504" width="10.5" style="105" customWidth="1"/>
    <col min="10505" max="10511" width="8.5" style="105" customWidth="1"/>
    <col min="10512" max="10753" width="9.1640625" style="105"/>
    <col min="10754" max="10754" width="17.83203125" style="105" bestFit="1" customWidth="1"/>
    <col min="10755" max="10755" width="22.83203125" style="105" customWidth="1"/>
    <col min="10756" max="10757" width="8.5" style="105" customWidth="1"/>
    <col min="10758" max="10758" width="10" style="105" customWidth="1"/>
    <col min="10759" max="10759" width="8.5" style="105" customWidth="1"/>
    <col min="10760" max="10760" width="10.5" style="105" customWidth="1"/>
    <col min="10761" max="10767" width="8.5" style="105" customWidth="1"/>
    <col min="10768" max="11009" width="9.1640625" style="105"/>
    <col min="11010" max="11010" width="17.83203125" style="105" bestFit="1" customWidth="1"/>
    <col min="11011" max="11011" width="22.83203125" style="105" customWidth="1"/>
    <col min="11012" max="11013" width="8.5" style="105" customWidth="1"/>
    <col min="11014" max="11014" width="10" style="105" customWidth="1"/>
    <col min="11015" max="11015" width="8.5" style="105" customWidth="1"/>
    <col min="11016" max="11016" width="10.5" style="105" customWidth="1"/>
    <col min="11017" max="11023" width="8.5" style="105" customWidth="1"/>
    <col min="11024" max="11265" width="9.1640625" style="105"/>
    <col min="11266" max="11266" width="17.83203125" style="105" bestFit="1" customWidth="1"/>
    <col min="11267" max="11267" width="22.83203125" style="105" customWidth="1"/>
    <col min="11268" max="11269" width="8.5" style="105" customWidth="1"/>
    <col min="11270" max="11270" width="10" style="105" customWidth="1"/>
    <col min="11271" max="11271" width="8.5" style="105" customWidth="1"/>
    <col min="11272" max="11272" width="10.5" style="105" customWidth="1"/>
    <col min="11273" max="11279" width="8.5" style="105" customWidth="1"/>
    <col min="11280" max="11521" width="9.1640625" style="105"/>
    <col min="11522" max="11522" width="17.83203125" style="105" bestFit="1" customWidth="1"/>
    <col min="11523" max="11523" width="22.83203125" style="105" customWidth="1"/>
    <col min="11524" max="11525" width="8.5" style="105" customWidth="1"/>
    <col min="11526" max="11526" width="10" style="105" customWidth="1"/>
    <col min="11527" max="11527" width="8.5" style="105" customWidth="1"/>
    <col min="11528" max="11528" width="10.5" style="105" customWidth="1"/>
    <col min="11529" max="11535" width="8.5" style="105" customWidth="1"/>
    <col min="11536" max="11777" width="9.1640625" style="105"/>
    <col min="11778" max="11778" width="17.83203125" style="105" bestFit="1" customWidth="1"/>
    <col min="11779" max="11779" width="22.83203125" style="105" customWidth="1"/>
    <col min="11780" max="11781" width="8.5" style="105" customWidth="1"/>
    <col min="11782" max="11782" width="10" style="105" customWidth="1"/>
    <col min="11783" max="11783" width="8.5" style="105" customWidth="1"/>
    <col min="11784" max="11784" width="10.5" style="105" customWidth="1"/>
    <col min="11785" max="11791" width="8.5" style="105" customWidth="1"/>
    <col min="11792" max="12033" width="9.1640625" style="105"/>
    <col min="12034" max="12034" width="17.83203125" style="105" bestFit="1" customWidth="1"/>
    <col min="12035" max="12035" width="22.83203125" style="105" customWidth="1"/>
    <col min="12036" max="12037" width="8.5" style="105" customWidth="1"/>
    <col min="12038" max="12038" width="10" style="105" customWidth="1"/>
    <col min="12039" max="12039" width="8.5" style="105" customWidth="1"/>
    <col min="12040" max="12040" width="10.5" style="105" customWidth="1"/>
    <col min="12041" max="12047" width="8.5" style="105" customWidth="1"/>
    <col min="12048" max="12289" width="9.1640625" style="105"/>
    <col min="12290" max="12290" width="17.83203125" style="105" bestFit="1" customWidth="1"/>
    <col min="12291" max="12291" width="22.83203125" style="105" customWidth="1"/>
    <col min="12292" max="12293" width="8.5" style="105" customWidth="1"/>
    <col min="12294" max="12294" width="10" style="105" customWidth="1"/>
    <col min="12295" max="12295" width="8.5" style="105" customWidth="1"/>
    <col min="12296" max="12296" width="10.5" style="105" customWidth="1"/>
    <col min="12297" max="12303" width="8.5" style="105" customWidth="1"/>
    <col min="12304" max="12545" width="9.1640625" style="105"/>
    <col min="12546" max="12546" width="17.83203125" style="105" bestFit="1" customWidth="1"/>
    <col min="12547" max="12547" width="22.83203125" style="105" customWidth="1"/>
    <col min="12548" max="12549" width="8.5" style="105" customWidth="1"/>
    <col min="12550" max="12550" width="10" style="105" customWidth="1"/>
    <col min="12551" max="12551" width="8.5" style="105" customWidth="1"/>
    <col min="12552" max="12552" width="10.5" style="105" customWidth="1"/>
    <col min="12553" max="12559" width="8.5" style="105" customWidth="1"/>
    <col min="12560" max="12801" width="9.1640625" style="105"/>
    <col min="12802" max="12802" width="17.83203125" style="105" bestFit="1" customWidth="1"/>
    <col min="12803" max="12803" width="22.83203125" style="105" customWidth="1"/>
    <col min="12804" max="12805" width="8.5" style="105" customWidth="1"/>
    <col min="12806" max="12806" width="10" style="105" customWidth="1"/>
    <col min="12807" max="12807" width="8.5" style="105" customWidth="1"/>
    <col min="12808" max="12808" width="10.5" style="105" customWidth="1"/>
    <col min="12809" max="12815" width="8.5" style="105" customWidth="1"/>
    <col min="12816" max="13057" width="9.1640625" style="105"/>
    <col min="13058" max="13058" width="17.83203125" style="105" bestFit="1" customWidth="1"/>
    <col min="13059" max="13059" width="22.83203125" style="105" customWidth="1"/>
    <col min="13060" max="13061" width="8.5" style="105" customWidth="1"/>
    <col min="13062" max="13062" width="10" style="105" customWidth="1"/>
    <col min="13063" max="13063" width="8.5" style="105" customWidth="1"/>
    <col min="13064" max="13064" width="10.5" style="105" customWidth="1"/>
    <col min="13065" max="13071" width="8.5" style="105" customWidth="1"/>
    <col min="13072" max="13313" width="9.1640625" style="105"/>
    <col min="13314" max="13314" width="17.83203125" style="105" bestFit="1" customWidth="1"/>
    <col min="13315" max="13315" width="22.83203125" style="105" customWidth="1"/>
    <col min="13316" max="13317" width="8.5" style="105" customWidth="1"/>
    <col min="13318" max="13318" width="10" style="105" customWidth="1"/>
    <col min="13319" max="13319" width="8.5" style="105" customWidth="1"/>
    <col min="13320" max="13320" width="10.5" style="105" customWidth="1"/>
    <col min="13321" max="13327" width="8.5" style="105" customWidth="1"/>
    <col min="13328" max="13569" width="9.1640625" style="105"/>
    <col min="13570" max="13570" width="17.83203125" style="105" bestFit="1" customWidth="1"/>
    <col min="13571" max="13571" width="22.83203125" style="105" customWidth="1"/>
    <col min="13572" max="13573" width="8.5" style="105" customWidth="1"/>
    <col min="13574" max="13574" width="10" style="105" customWidth="1"/>
    <col min="13575" max="13575" width="8.5" style="105" customWidth="1"/>
    <col min="13576" max="13576" width="10.5" style="105" customWidth="1"/>
    <col min="13577" max="13583" width="8.5" style="105" customWidth="1"/>
    <col min="13584" max="13825" width="9.1640625" style="105"/>
    <col min="13826" max="13826" width="17.83203125" style="105" bestFit="1" customWidth="1"/>
    <col min="13827" max="13827" width="22.83203125" style="105" customWidth="1"/>
    <col min="13828" max="13829" width="8.5" style="105" customWidth="1"/>
    <col min="13830" max="13830" width="10" style="105" customWidth="1"/>
    <col min="13831" max="13831" width="8.5" style="105" customWidth="1"/>
    <col min="13832" max="13832" width="10.5" style="105" customWidth="1"/>
    <col min="13833" max="13839" width="8.5" style="105" customWidth="1"/>
    <col min="13840" max="14081" width="9.1640625" style="105"/>
    <col min="14082" max="14082" width="17.83203125" style="105" bestFit="1" customWidth="1"/>
    <col min="14083" max="14083" width="22.83203125" style="105" customWidth="1"/>
    <col min="14084" max="14085" width="8.5" style="105" customWidth="1"/>
    <col min="14086" max="14086" width="10" style="105" customWidth="1"/>
    <col min="14087" max="14087" width="8.5" style="105" customWidth="1"/>
    <col min="14088" max="14088" width="10.5" style="105" customWidth="1"/>
    <col min="14089" max="14095" width="8.5" style="105" customWidth="1"/>
    <col min="14096" max="14337" width="9.1640625" style="105"/>
    <col min="14338" max="14338" width="17.83203125" style="105" bestFit="1" customWidth="1"/>
    <col min="14339" max="14339" width="22.83203125" style="105" customWidth="1"/>
    <col min="14340" max="14341" width="8.5" style="105" customWidth="1"/>
    <col min="14342" max="14342" width="10" style="105" customWidth="1"/>
    <col min="14343" max="14343" width="8.5" style="105" customWidth="1"/>
    <col min="14344" max="14344" width="10.5" style="105" customWidth="1"/>
    <col min="14345" max="14351" width="8.5" style="105" customWidth="1"/>
    <col min="14352" max="14593" width="9.1640625" style="105"/>
    <col min="14594" max="14594" width="17.83203125" style="105" bestFit="1" customWidth="1"/>
    <col min="14595" max="14595" width="22.83203125" style="105" customWidth="1"/>
    <col min="14596" max="14597" width="8.5" style="105" customWidth="1"/>
    <col min="14598" max="14598" width="10" style="105" customWidth="1"/>
    <col min="14599" max="14599" width="8.5" style="105" customWidth="1"/>
    <col min="14600" max="14600" width="10.5" style="105" customWidth="1"/>
    <col min="14601" max="14607" width="8.5" style="105" customWidth="1"/>
    <col min="14608" max="14849" width="9.1640625" style="105"/>
    <col min="14850" max="14850" width="17.83203125" style="105" bestFit="1" customWidth="1"/>
    <col min="14851" max="14851" width="22.83203125" style="105" customWidth="1"/>
    <col min="14852" max="14853" width="8.5" style="105" customWidth="1"/>
    <col min="14854" max="14854" width="10" style="105" customWidth="1"/>
    <col min="14855" max="14855" width="8.5" style="105" customWidth="1"/>
    <col min="14856" max="14856" width="10.5" style="105" customWidth="1"/>
    <col min="14857" max="14863" width="8.5" style="105" customWidth="1"/>
    <col min="14864" max="15105" width="9.1640625" style="105"/>
    <col min="15106" max="15106" width="17.83203125" style="105" bestFit="1" customWidth="1"/>
    <col min="15107" max="15107" width="22.83203125" style="105" customWidth="1"/>
    <col min="15108" max="15109" width="8.5" style="105" customWidth="1"/>
    <col min="15110" max="15110" width="10" style="105" customWidth="1"/>
    <col min="15111" max="15111" width="8.5" style="105" customWidth="1"/>
    <col min="15112" max="15112" width="10.5" style="105" customWidth="1"/>
    <col min="15113" max="15119" width="8.5" style="105" customWidth="1"/>
    <col min="15120" max="15361" width="9.1640625" style="105"/>
    <col min="15362" max="15362" width="17.83203125" style="105" bestFit="1" customWidth="1"/>
    <col min="15363" max="15363" width="22.83203125" style="105" customWidth="1"/>
    <col min="15364" max="15365" width="8.5" style="105" customWidth="1"/>
    <col min="15366" max="15366" width="10" style="105" customWidth="1"/>
    <col min="15367" max="15367" width="8.5" style="105" customWidth="1"/>
    <col min="15368" max="15368" width="10.5" style="105" customWidth="1"/>
    <col min="15369" max="15375" width="8.5" style="105" customWidth="1"/>
    <col min="15376" max="15617" width="9.1640625" style="105"/>
    <col min="15618" max="15618" width="17.83203125" style="105" bestFit="1" customWidth="1"/>
    <col min="15619" max="15619" width="22.83203125" style="105" customWidth="1"/>
    <col min="15620" max="15621" width="8.5" style="105" customWidth="1"/>
    <col min="15622" max="15622" width="10" style="105" customWidth="1"/>
    <col min="15623" max="15623" width="8.5" style="105" customWidth="1"/>
    <col min="15624" max="15624" width="10.5" style="105" customWidth="1"/>
    <col min="15625" max="15631" width="8.5" style="105" customWidth="1"/>
    <col min="15632" max="15873" width="9.1640625" style="105"/>
    <col min="15874" max="15874" width="17.83203125" style="105" bestFit="1" customWidth="1"/>
    <col min="15875" max="15875" width="22.83203125" style="105" customWidth="1"/>
    <col min="15876" max="15877" width="8.5" style="105" customWidth="1"/>
    <col min="15878" max="15878" width="10" style="105" customWidth="1"/>
    <col min="15879" max="15879" width="8.5" style="105" customWidth="1"/>
    <col min="15880" max="15880" width="10.5" style="105" customWidth="1"/>
    <col min="15881" max="15887" width="8.5" style="105" customWidth="1"/>
    <col min="15888" max="16129" width="9.1640625" style="105"/>
    <col min="16130" max="16130" width="17.83203125" style="105" bestFit="1" customWidth="1"/>
    <col min="16131" max="16131" width="22.83203125" style="105" customWidth="1"/>
    <col min="16132" max="16133" width="8.5" style="105" customWidth="1"/>
    <col min="16134" max="16134" width="10" style="105" customWidth="1"/>
    <col min="16135" max="16135" width="8.5" style="105" customWidth="1"/>
    <col min="16136" max="16136" width="10.5" style="105" customWidth="1"/>
    <col min="16137" max="16143" width="8.5" style="105" customWidth="1"/>
    <col min="16144" max="16384" width="9.1640625" style="105"/>
  </cols>
  <sheetData>
    <row r="1" spans="3:37" ht="16">
      <c r="U1"/>
      <c r="V1" s="311"/>
      <c r="AK1" s="312"/>
    </row>
    <row r="2" spans="3:37" ht="25">
      <c r="C2" s="625" t="s">
        <v>655</v>
      </c>
      <c r="D2" s="299"/>
      <c r="E2" s="299"/>
      <c r="F2" s="299"/>
      <c r="G2" s="299"/>
      <c r="H2" s="299"/>
      <c r="I2" s="299"/>
      <c r="J2" s="299"/>
      <c r="K2" s="299"/>
      <c r="L2" s="299"/>
      <c r="M2" s="299"/>
      <c r="N2" s="299"/>
      <c r="O2" s="299"/>
      <c r="P2" s="299"/>
      <c r="Q2" s="299"/>
      <c r="V2" s="311"/>
      <c r="W2" s="624" t="s">
        <v>654</v>
      </c>
      <c r="X2" s="623"/>
      <c r="Y2" s="623"/>
      <c r="Z2" s="623"/>
      <c r="AA2" s="299"/>
      <c r="AB2" s="299"/>
      <c r="AC2" s="299"/>
      <c r="AD2" s="299"/>
      <c r="AE2" s="299"/>
      <c r="AF2" s="299"/>
      <c r="AG2" s="299"/>
      <c r="AH2" s="299"/>
      <c r="AI2" s="299"/>
      <c r="AJ2" s="299"/>
      <c r="AK2" s="313"/>
    </row>
    <row r="3" spans="3:37">
      <c r="C3" s="300"/>
      <c r="D3" s="300"/>
      <c r="E3" s="300"/>
      <c r="F3" s="300"/>
      <c r="G3" s="301"/>
      <c r="H3" s="302"/>
      <c r="I3" s="302"/>
      <c r="J3" s="302"/>
      <c r="K3" s="302"/>
      <c r="L3" s="302"/>
      <c r="M3" s="302"/>
      <c r="N3" s="302"/>
      <c r="O3" s="302"/>
      <c r="P3" s="302"/>
      <c r="Q3" s="302"/>
      <c r="V3" s="311"/>
      <c r="W3" s="300"/>
      <c r="X3" s="300"/>
      <c r="Y3" s="300"/>
      <c r="Z3" s="300"/>
      <c r="AA3" s="301"/>
      <c r="AB3" s="302"/>
      <c r="AC3" s="302"/>
      <c r="AD3" s="302"/>
      <c r="AE3" s="302"/>
      <c r="AF3" s="302"/>
      <c r="AG3" s="302"/>
      <c r="AH3" s="302"/>
      <c r="AI3" s="302"/>
      <c r="AJ3" s="302"/>
      <c r="AK3" s="314"/>
    </row>
    <row r="4" spans="3:37">
      <c r="C4" s="591"/>
      <c r="D4" s="622"/>
      <c r="E4" s="546"/>
      <c r="F4" s="557"/>
      <c r="G4" s="556"/>
      <c r="H4" s="620"/>
      <c r="I4" s="620"/>
      <c r="J4" s="620"/>
      <c r="K4" s="620"/>
      <c r="L4" s="620"/>
      <c r="M4" s="620"/>
      <c r="N4" s="620"/>
      <c r="O4" s="620"/>
      <c r="P4" s="620"/>
      <c r="Q4" s="620"/>
      <c r="V4" s="311"/>
      <c r="W4" s="591"/>
      <c r="X4" s="622"/>
      <c r="Y4" s="546"/>
      <c r="Z4" s="557"/>
      <c r="AA4" s="556"/>
      <c r="AB4" s="620"/>
      <c r="AC4" s="620"/>
      <c r="AD4" s="620"/>
      <c r="AE4" s="620"/>
      <c r="AF4" s="620"/>
      <c r="AG4" s="620"/>
      <c r="AH4" s="620"/>
      <c r="AI4" s="620"/>
      <c r="AJ4" s="620"/>
      <c r="AK4" s="621"/>
    </row>
    <row r="5" spans="3:37">
      <c r="C5" s="552"/>
      <c r="D5" s="551"/>
      <c r="E5" s="620"/>
      <c r="F5" s="554" t="s">
        <v>78</v>
      </c>
      <c r="G5" s="553"/>
      <c r="H5" s="620"/>
      <c r="I5" s="620"/>
      <c r="J5" s="620"/>
      <c r="K5" s="620"/>
      <c r="L5" s="620"/>
      <c r="M5" s="620"/>
      <c r="N5" s="620"/>
      <c r="O5" s="620"/>
      <c r="P5" s="620"/>
      <c r="Q5" s="546"/>
      <c r="V5" s="311"/>
      <c r="W5" s="552"/>
      <c r="X5" s="551"/>
      <c r="Y5" s="620"/>
      <c r="Z5" s="554" t="s">
        <v>78</v>
      </c>
      <c r="AA5" s="553"/>
      <c r="AB5" s="620"/>
      <c r="AC5" s="620"/>
      <c r="AD5" s="620"/>
      <c r="AE5" s="620"/>
      <c r="AF5" s="620"/>
      <c r="AG5" s="620"/>
      <c r="AH5" s="620"/>
      <c r="AI5" s="620"/>
      <c r="AJ5" s="620"/>
      <c r="AK5" s="542"/>
    </row>
    <row r="6" spans="3:37">
      <c r="C6" s="552"/>
      <c r="D6" s="615"/>
      <c r="E6" s="546"/>
      <c r="F6" s="619">
        <f>F41</f>
        <v>0.05</v>
      </c>
      <c r="G6" s="596"/>
      <c r="H6" s="584"/>
      <c r="I6" s="546"/>
      <c r="J6" s="546"/>
      <c r="K6" s="584"/>
      <c r="L6" s="584"/>
      <c r="M6" s="584"/>
      <c r="N6" s="584"/>
      <c r="O6" s="584"/>
      <c r="P6" s="584"/>
      <c r="Q6" s="584"/>
      <c r="V6" s="311"/>
      <c r="W6" s="552"/>
      <c r="X6" s="615"/>
      <c r="Y6" s="546"/>
      <c r="Z6" s="619">
        <f>Z41</f>
        <v>0.05</v>
      </c>
      <c r="AA6" s="596"/>
      <c r="AB6" s="584"/>
      <c r="AC6" s="546"/>
      <c r="AD6" s="546"/>
      <c r="AE6" s="584"/>
      <c r="AF6" s="584"/>
      <c r="AG6" s="584"/>
      <c r="AH6" s="584"/>
      <c r="AI6" s="584"/>
      <c r="AJ6" s="584"/>
      <c r="AK6" s="583"/>
    </row>
    <row r="7" spans="3:37">
      <c r="C7" s="563"/>
      <c r="D7" s="570"/>
      <c r="E7" s="546"/>
      <c r="F7" s="545"/>
      <c r="G7" s="544"/>
      <c r="H7" s="582"/>
      <c r="I7" s="557"/>
      <c r="J7" s="556"/>
      <c r="K7" s="582"/>
      <c r="L7" s="582"/>
      <c r="M7" s="582"/>
      <c r="N7" s="582"/>
      <c r="O7" s="582"/>
      <c r="P7" s="582"/>
      <c r="Q7" s="582"/>
      <c r="V7" s="311"/>
      <c r="W7" s="563"/>
      <c r="X7" s="570"/>
      <c r="Y7" s="546"/>
      <c r="Z7" s="545"/>
      <c r="AA7" s="544"/>
      <c r="AB7" s="582"/>
      <c r="AC7" s="557"/>
      <c r="AD7" s="556"/>
      <c r="AE7" s="582"/>
      <c r="AF7" s="582"/>
      <c r="AG7" s="582"/>
      <c r="AH7" s="582"/>
      <c r="AI7" s="582"/>
      <c r="AJ7" s="582"/>
      <c r="AK7" s="616"/>
    </row>
    <row r="8" spans="3:37">
      <c r="C8" s="563" t="s">
        <v>79</v>
      </c>
      <c r="D8" s="570"/>
      <c r="E8" s="546"/>
      <c r="F8" s="546"/>
      <c r="G8" s="546"/>
      <c r="H8" s="582"/>
      <c r="I8" s="554" t="s">
        <v>80</v>
      </c>
      <c r="J8" s="553"/>
      <c r="K8" s="582"/>
      <c r="L8" s="582"/>
      <c r="M8" s="582"/>
      <c r="N8" s="582"/>
      <c r="O8" s="582"/>
      <c r="P8" s="582"/>
      <c r="Q8" s="582"/>
      <c r="V8" s="311"/>
      <c r="W8" s="563" t="s">
        <v>79</v>
      </c>
      <c r="X8" s="570"/>
      <c r="Y8" s="546"/>
      <c r="Z8" s="546"/>
      <c r="AA8" s="546"/>
      <c r="AB8" s="582"/>
      <c r="AC8" s="554" t="s">
        <v>80</v>
      </c>
      <c r="AD8" s="553"/>
      <c r="AE8" s="582"/>
      <c r="AF8" s="582"/>
      <c r="AG8" s="582"/>
      <c r="AH8" s="582"/>
      <c r="AI8" s="582"/>
      <c r="AJ8" s="582"/>
      <c r="AK8" s="616"/>
    </row>
    <row r="9" spans="3:37">
      <c r="C9" s="563"/>
      <c r="D9" s="570"/>
      <c r="E9" s="546"/>
      <c r="F9" s="557"/>
      <c r="G9" s="556"/>
      <c r="H9" s="584"/>
      <c r="I9" s="581">
        <f>F11*F6</f>
        <v>3.4499999999999996E-2</v>
      </c>
      <c r="J9" s="580"/>
      <c r="K9" s="584"/>
      <c r="L9" s="584"/>
      <c r="M9" s="584"/>
      <c r="N9" s="584"/>
      <c r="O9" s="584"/>
      <c r="P9" s="584"/>
      <c r="Q9" s="584"/>
      <c r="V9" s="311"/>
      <c r="W9" s="563"/>
      <c r="X9" s="570"/>
      <c r="Y9" s="546"/>
      <c r="Z9" s="557"/>
      <c r="AA9" s="556"/>
      <c r="AB9" s="584"/>
      <c r="AC9" s="581">
        <f>Z11*Z6</f>
        <v>3.6508620689655179E-2</v>
      </c>
      <c r="AD9" s="580"/>
      <c r="AE9" s="584"/>
      <c r="AF9" s="584"/>
      <c r="AG9" s="584"/>
      <c r="AH9" s="584"/>
      <c r="AI9" s="584"/>
      <c r="AJ9" s="584"/>
      <c r="AK9" s="583"/>
    </row>
    <row r="10" spans="3:37">
      <c r="C10" s="563" t="s">
        <v>81</v>
      </c>
      <c r="D10" s="562"/>
      <c r="E10" s="546"/>
      <c r="F10" s="554" t="s">
        <v>653</v>
      </c>
      <c r="G10" s="553"/>
      <c r="H10" s="584"/>
      <c r="I10" s="545"/>
      <c r="J10" s="544"/>
      <c r="K10" s="584"/>
      <c r="L10" s="584"/>
      <c r="M10" s="584"/>
      <c r="N10" s="575" t="s">
        <v>83</v>
      </c>
      <c r="O10" s="584"/>
      <c r="P10" s="584"/>
      <c r="Q10" s="584"/>
      <c r="V10" s="311"/>
      <c r="W10" s="563" t="s">
        <v>81</v>
      </c>
      <c r="X10" s="562"/>
      <c r="Y10" s="546"/>
      <c r="Z10" s="554" t="s">
        <v>82</v>
      </c>
      <c r="AA10" s="553"/>
      <c r="AB10" s="584"/>
      <c r="AC10" s="545"/>
      <c r="AD10" s="544"/>
      <c r="AE10" s="584"/>
      <c r="AF10" s="584"/>
      <c r="AG10" s="584"/>
      <c r="AH10" s="575" t="s">
        <v>83</v>
      </c>
      <c r="AI10" s="584"/>
      <c r="AJ10" s="584"/>
      <c r="AK10" s="583"/>
    </row>
    <row r="11" spans="3:37">
      <c r="C11" s="563"/>
      <c r="D11" s="562"/>
      <c r="E11" s="546"/>
      <c r="F11" s="618">
        <f>F39</f>
        <v>0.69</v>
      </c>
      <c r="G11" s="617"/>
      <c r="H11" s="584"/>
      <c r="I11" s="584"/>
      <c r="J11" s="584"/>
      <c r="K11" s="584"/>
      <c r="L11" s="584"/>
      <c r="M11" s="584"/>
      <c r="N11" s="575" t="s">
        <v>84</v>
      </c>
      <c r="O11" s="584"/>
      <c r="P11" s="584"/>
      <c r="Q11" s="584"/>
      <c r="V11" s="311"/>
      <c r="W11" s="563"/>
      <c r="X11" s="562"/>
      <c r="Y11" s="546"/>
      <c r="Z11" s="618">
        <f>Z39</f>
        <v>0.7301724137931036</v>
      </c>
      <c r="AA11" s="617"/>
      <c r="AB11" s="584"/>
      <c r="AC11" s="584"/>
      <c r="AD11" s="584"/>
      <c r="AE11" s="584"/>
      <c r="AF11" s="584"/>
      <c r="AG11" s="584"/>
      <c r="AH11" s="575" t="s">
        <v>84</v>
      </c>
      <c r="AI11" s="584"/>
      <c r="AJ11" s="584"/>
      <c r="AK11" s="583"/>
    </row>
    <row r="12" spans="3:37">
      <c r="C12" s="563" t="s">
        <v>85</v>
      </c>
      <c r="D12" s="562"/>
      <c r="E12" s="546"/>
      <c r="F12" s="545"/>
      <c r="G12" s="544"/>
      <c r="H12" s="582"/>
      <c r="I12" s="582"/>
      <c r="J12" s="582"/>
      <c r="K12" s="582"/>
      <c r="L12" s="582"/>
      <c r="M12" s="582"/>
      <c r="N12" s="582"/>
      <c r="O12" s="582"/>
      <c r="P12" s="582"/>
      <c r="Q12" s="582"/>
      <c r="V12" s="311"/>
      <c r="W12" s="563" t="s">
        <v>85</v>
      </c>
      <c r="X12" s="562"/>
      <c r="Y12" s="546"/>
      <c r="Z12" s="545"/>
      <c r="AA12" s="544"/>
      <c r="AB12" s="582"/>
      <c r="AC12" s="582"/>
      <c r="AD12" s="582"/>
      <c r="AE12" s="582"/>
      <c r="AF12" s="582"/>
      <c r="AG12" s="582"/>
      <c r="AH12" s="582"/>
      <c r="AI12" s="582"/>
      <c r="AJ12" s="582"/>
      <c r="AK12" s="616"/>
    </row>
    <row r="13" spans="3:37">
      <c r="C13" s="563"/>
      <c r="D13" s="570"/>
      <c r="E13" s="546"/>
      <c r="H13" s="584"/>
      <c r="I13" s="546"/>
      <c r="J13" s="546"/>
      <c r="K13" s="584"/>
      <c r="L13" s="557"/>
      <c r="M13" s="556"/>
      <c r="N13" s="575" t="s">
        <v>86</v>
      </c>
      <c r="O13" s="584"/>
      <c r="P13" s="584"/>
      <c r="Q13" s="584"/>
      <c r="V13" s="311"/>
      <c r="W13" s="563"/>
      <c r="X13" s="570"/>
      <c r="Y13" s="546"/>
      <c r="AB13" s="584"/>
      <c r="AC13" s="546"/>
      <c r="AD13" s="546"/>
      <c r="AE13" s="584"/>
      <c r="AF13" s="557"/>
      <c r="AG13" s="556"/>
      <c r="AH13" s="575" t="s">
        <v>86</v>
      </c>
      <c r="AI13" s="584"/>
      <c r="AJ13" s="584"/>
      <c r="AK13" s="583"/>
    </row>
    <row r="14" spans="3:37">
      <c r="C14" s="552"/>
      <c r="D14" s="551"/>
      <c r="E14" s="546"/>
      <c r="H14" s="584"/>
      <c r="I14" s="546"/>
      <c r="J14" s="546"/>
      <c r="K14" s="584"/>
      <c r="L14" s="554" t="s">
        <v>87</v>
      </c>
      <c r="M14" s="553"/>
      <c r="N14" s="565">
        <f>1-N21</f>
        <v>0.70128575809800009</v>
      </c>
      <c r="O14" s="584"/>
      <c r="P14" s="584"/>
      <c r="Q14" s="584"/>
      <c r="V14" s="311"/>
      <c r="W14" s="552"/>
      <c r="X14" s="551"/>
      <c r="Y14" s="546"/>
      <c r="AB14" s="584"/>
      <c r="AC14" s="546"/>
      <c r="AD14" s="546"/>
      <c r="AE14" s="584"/>
      <c r="AF14" s="554" t="s">
        <v>87</v>
      </c>
      <c r="AG14" s="553"/>
      <c r="AH14" s="565">
        <f>1-AH21</f>
        <v>0.47927589032104001</v>
      </c>
      <c r="AI14" s="584"/>
      <c r="AJ14" s="584"/>
      <c r="AK14" s="583"/>
    </row>
    <row r="15" spans="3:37">
      <c r="C15" s="552"/>
      <c r="D15" s="615"/>
      <c r="E15" s="546"/>
      <c r="H15" s="584"/>
      <c r="I15" s="546"/>
      <c r="J15" s="546"/>
      <c r="K15" s="584"/>
      <c r="L15" s="614">
        <f>I9+F18</f>
        <v>7.4499999999999997E-2</v>
      </c>
      <c r="M15" s="613"/>
      <c r="N15" s="584"/>
      <c r="O15" s="584" t="s">
        <v>652</v>
      </c>
      <c r="P15" s="584"/>
      <c r="Q15" s="584"/>
      <c r="V15" s="311"/>
      <c r="W15" s="552"/>
      <c r="X15" s="615"/>
      <c r="Y15" s="546"/>
      <c r="AB15" s="584"/>
      <c r="AC15" s="546"/>
      <c r="AD15" s="546"/>
      <c r="AE15" s="584"/>
      <c r="AF15" s="627">
        <f>AC9+Z18</f>
        <v>7.650862068965518E-2</v>
      </c>
      <c r="AG15" s="613"/>
      <c r="AH15" s="584"/>
      <c r="AI15" s="612" t="s">
        <v>651</v>
      </c>
      <c r="AJ15" s="584"/>
      <c r="AK15" s="583"/>
    </row>
    <row r="16" spans="3:37">
      <c r="C16" s="548"/>
      <c r="D16" s="608"/>
      <c r="E16" s="546"/>
      <c r="F16" s="557"/>
      <c r="G16" s="556"/>
      <c r="H16" s="584"/>
      <c r="I16" s="546"/>
      <c r="J16" s="546"/>
      <c r="K16" s="584"/>
      <c r="L16" s="545"/>
      <c r="M16" s="544"/>
      <c r="N16" s="584"/>
      <c r="O16" s="611"/>
      <c r="P16" s="610"/>
      <c r="Q16" s="609"/>
      <c r="V16" s="311"/>
      <c r="W16" s="548"/>
      <c r="X16" s="608"/>
      <c r="Y16" s="546"/>
      <c r="Z16" s="557"/>
      <c r="AA16" s="556"/>
      <c r="AB16" s="584"/>
      <c r="AC16" s="546"/>
      <c r="AD16" s="546"/>
      <c r="AE16" s="584"/>
      <c r="AF16" s="545"/>
      <c r="AG16" s="544"/>
      <c r="AH16" s="584"/>
      <c r="AI16" s="607"/>
      <c r="AJ16" s="606"/>
      <c r="AK16" s="605"/>
    </row>
    <row r="17" spans="3:37">
      <c r="C17" s="546"/>
      <c r="D17" s="598"/>
      <c r="E17" s="546"/>
      <c r="F17" s="554" t="s">
        <v>88</v>
      </c>
      <c r="G17" s="553"/>
      <c r="H17" s="584"/>
      <c r="I17" s="584"/>
      <c r="J17" s="584"/>
      <c r="K17" s="584"/>
      <c r="L17" s="584"/>
      <c r="M17" s="584"/>
      <c r="N17" s="584"/>
      <c r="O17" s="604" t="s">
        <v>89</v>
      </c>
      <c r="P17" s="603"/>
      <c r="Q17" s="602"/>
      <c r="V17" s="311"/>
      <c r="W17" s="546"/>
      <c r="X17" s="598"/>
      <c r="Y17" s="546"/>
      <c r="Z17" s="554" t="s">
        <v>88</v>
      </c>
      <c r="AA17" s="553"/>
      <c r="AB17" s="584"/>
      <c r="AC17" s="584"/>
      <c r="AD17" s="584"/>
      <c r="AE17" s="584"/>
      <c r="AF17" s="584"/>
      <c r="AG17" s="584"/>
      <c r="AH17" s="584"/>
      <c r="AI17" s="601" t="s">
        <v>89</v>
      </c>
      <c r="AJ17" s="600"/>
      <c r="AK17" s="599"/>
    </row>
    <row r="18" spans="3:37">
      <c r="C18" s="561"/>
      <c r="D18" s="598"/>
      <c r="E18" s="546"/>
      <c r="F18" s="597">
        <f>F38</f>
        <v>0.04</v>
      </c>
      <c r="G18" s="596"/>
      <c r="H18" s="595"/>
      <c r="I18" s="595"/>
      <c r="J18" s="595"/>
      <c r="K18" s="595"/>
      <c r="L18" s="595"/>
      <c r="M18" s="595"/>
      <c r="N18" s="595"/>
      <c r="O18" s="639">
        <f>(N14*L15)+(N21*L21)</f>
        <v>6.1497604235112566E-2</v>
      </c>
      <c r="P18" s="640"/>
      <c r="Q18" s="641"/>
      <c r="V18" s="311"/>
      <c r="W18" s="561"/>
      <c r="X18" s="598"/>
      <c r="Y18" s="546"/>
      <c r="Z18" s="597">
        <f>Z38</f>
        <v>0.04</v>
      </c>
      <c r="AA18" s="596"/>
      <c r="AB18" s="595"/>
      <c r="AC18" s="595"/>
      <c r="AD18" s="595"/>
      <c r="AE18" s="595"/>
      <c r="AF18" s="595"/>
      <c r="AG18" s="595"/>
      <c r="AH18" s="595"/>
      <c r="AI18" s="642">
        <f>(AH14*AF15)+(AH21*AF21)</f>
        <v>6.1899619277321002E-2</v>
      </c>
      <c r="AJ18" s="643"/>
      <c r="AK18" s="644"/>
    </row>
    <row r="19" spans="3:37">
      <c r="C19" s="591"/>
      <c r="D19" s="590"/>
      <c r="E19" s="546"/>
      <c r="F19" s="545"/>
      <c r="G19" s="544"/>
      <c r="H19" s="546"/>
      <c r="I19" s="589"/>
      <c r="J19" s="588"/>
      <c r="K19" s="546"/>
      <c r="L19" s="557"/>
      <c r="M19" s="556"/>
      <c r="N19" s="546"/>
      <c r="O19" s="594"/>
      <c r="P19" s="593"/>
      <c r="Q19" s="592"/>
      <c r="V19" s="311"/>
      <c r="W19" s="591"/>
      <c r="X19" s="590"/>
      <c r="Y19" s="546"/>
      <c r="Z19" s="545"/>
      <c r="AA19" s="544"/>
      <c r="AB19" s="546"/>
      <c r="AC19" s="589"/>
      <c r="AD19" s="588"/>
      <c r="AE19" s="546"/>
      <c r="AF19" s="557"/>
      <c r="AG19" s="556"/>
      <c r="AH19" s="546"/>
      <c r="AI19" s="587"/>
      <c r="AJ19" s="586"/>
      <c r="AK19" s="585"/>
    </row>
    <row r="20" spans="3:37">
      <c r="C20" s="552"/>
      <c r="D20" s="551"/>
      <c r="E20" s="546"/>
      <c r="F20" s="546"/>
      <c r="G20" s="546"/>
      <c r="H20" s="584"/>
      <c r="I20" s="554" t="s">
        <v>90</v>
      </c>
      <c r="J20" s="553"/>
      <c r="K20" s="584"/>
      <c r="L20" s="554" t="s">
        <v>91</v>
      </c>
      <c r="M20" s="553"/>
      <c r="N20" s="584"/>
      <c r="O20" s="584"/>
      <c r="P20" s="584"/>
      <c r="Q20" s="584"/>
      <c r="V20" s="311"/>
      <c r="W20" s="552"/>
      <c r="X20" s="551"/>
      <c r="Y20" s="546"/>
      <c r="Z20" s="546"/>
      <c r="AA20" s="546"/>
      <c r="AB20" s="584"/>
      <c r="AC20" s="554" t="s">
        <v>90</v>
      </c>
      <c r="AD20" s="553"/>
      <c r="AE20" s="584"/>
      <c r="AF20" s="554" t="s">
        <v>91</v>
      </c>
      <c r="AG20" s="553"/>
      <c r="AH20" s="565"/>
      <c r="AI20" s="584"/>
      <c r="AJ20" s="584"/>
      <c r="AK20" s="583"/>
    </row>
    <row r="21" spans="3:37">
      <c r="C21" s="552"/>
      <c r="D21" s="551"/>
      <c r="E21" s="546"/>
      <c r="F21" s="546"/>
      <c r="G21" s="582"/>
      <c r="H21" s="546"/>
      <c r="I21" s="581">
        <f>F40</f>
        <v>4.0223540775493311E-2</v>
      </c>
      <c r="J21" s="580"/>
      <c r="K21" s="546"/>
      <c r="L21" s="579">
        <f>I21*(1-F30)</f>
        <v>3.0972126397129849E-2</v>
      </c>
      <c r="M21" s="578"/>
      <c r="N21" s="565">
        <f>F42/(F42+(F43*F44))</f>
        <v>0.29871424190199991</v>
      </c>
      <c r="O21" s="546"/>
      <c r="P21" s="576"/>
      <c r="Q21" s="546"/>
      <c r="V21" s="311"/>
      <c r="W21" s="552"/>
      <c r="X21" s="551"/>
      <c r="Y21" s="546"/>
      <c r="Z21" s="546"/>
      <c r="AA21" s="582"/>
      <c r="AB21" s="546"/>
      <c r="AC21" s="581">
        <f>Z40</f>
        <v>6.3754545454545439E-2</v>
      </c>
      <c r="AD21" s="580"/>
      <c r="AE21" s="546"/>
      <c r="AF21" s="579">
        <f>AC21*(1-Z30)</f>
        <v>4.8453454545454536E-2</v>
      </c>
      <c r="AG21" s="578"/>
      <c r="AH21" s="577">
        <f>Z42/(Z42+Z43*Z44)</f>
        <v>0.52072410967895999</v>
      </c>
      <c r="AI21" s="546"/>
      <c r="AJ21" s="576"/>
      <c r="AK21" s="542"/>
    </row>
    <row r="22" spans="3:37">
      <c r="C22" s="563"/>
      <c r="D22" s="570"/>
      <c r="E22" s="546"/>
      <c r="F22" s="303"/>
      <c r="G22" s="303"/>
      <c r="H22" s="546"/>
      <c r="I22" s="545"/>
      <c r="J22" s="544"/>
      <c r="K22" s="546"/>
      <c r="L22" s="545"/>
      <c r="M22" s="544"/>
      <c r="N22" s="575" t="s">
        <v>92</v>
      </c>
      <c r="O22" s="546"/>
      <c r="P22" s="546"/>
      <c r="Q22" s="546"/>
      <c r="V22" s="311"/>
      <c r="W22" s="563"/>
      <c r="X22" s="570"/>
      <c r="Y22" s="546"/>
      <c r="Z22" s="303"/>
      <c r="AA22" s="303"/>
      <c r="AB22" s="546"/>
      <c r="AC22" s="545"/>
      <c r="AD22" s="544"/>
      <c r="AE22" s="546"/>
      <c r="AF22" s="545"/>
      <c r="AG22" s="544"/>
      <c r="AH22" s="575" t="s">
        <v>93</v>
      </c>
      <c r="AI22" s="546"/>
      <c r="AJ22" s="546"/>
      <c r="AK22" s="542"/>
    </row>
    <row r="23" spans="3:37">
      <c r="C23" s="563" t="s">
        <v>79</v>
      </c>
      <c r="D23" s="570"/>
      <c r="E23" s="546"/>
      <c r="F23" s="303"/>
      <c r="G23" s="303"/>
      <c r="H23" s="574"/>
      <c r="I23" s="573"/>
      <c r="J23" s="573"/>
      <c r="K23" s="572"/>
      <c r="L23" s="572"/>
      <c r="M23" s="572"/>
      <c r="N23" s="572"/>
      <c r="O23" s="572"/>
      <c r="P23" s="572"/>
      <c r="Q23" s="560"/>
      <c r="V23" s="311"/>
      <c r="W23" s="563" t="s">
        <v>79</v>
      </c>
      <c r="X23" s="570"/>
      <c r="Y23" s="546"/>
      <c r="Z23" s="303"/>
      <c r="AA23" s="303"/>
      <c r="AB23" s="574"/>
      <c r="AC23" s="573"/>
      <c r="AD23" s="573"/>
      <c r="AE23" s="572"/>
      <c r="AF23" s="572"/>
      <c r="AG23" s="572"/>
      <c r="AH23" s="572"/>
      <c r="AI23" s="572"/>
      <c r="AJ23" s="572"/>
      <c r="AK23" s="571"/>
    </row>
    <row r="24" spans="3:37">
      <c r="C24" s="563"/>
      <c r="D24" s="570"/>
      <c r="E24" s="546"/>
      <c r="F24" s="303"/>
      <c r="G24" s="303"/>
      <c r="H24" s="569"/>
      <c r="I24" s="569"/>
      <c r="J24" s="569"/>
      <c r="K24" s="568"/>
      <c r="L24" s="568"/>
      <c r="M24" s="568"/>
      <c r="N24" s="568"/>
      <c r="O24" s="568"/>
      <c r="P24" s="567"/>
      <c r="Q24" s="568"/>
      <c r="V24" s="311"/>
      <c r="W24" s="563"/>
      <c r="X24" s="570"/>
      <c r="Y24" s="546"/>
      <c r="Z24" s="303"/>
      <c r="AA24" s="303"/>
      <c r="AB24" s="569"/>
      <c r="AC24" s="569"/>
      <c r="AD24" s="569"/>
      <c r="AE24" s="568"/>
      <c r="AF24" s="568"/>
      <c r="AG24" s="568"/>
      <c r="AH24" s="568"/>
      <c r="AI24" s="568"/>
      <c r="AJ24" s="567"/>
      <c r="AK24" s="566"/>
    </row>
    <row r="25" spans="3:37">
      <c r="C25" s="563" t="s">
        <v>81</v>
      </c>
      <c r="D25" s="562"/>
      <c r="E25" s="546"/>
      <c r="F25" s="303"/>
      <c r="G25" s="303"/>
      <c r="H25" s="558"/>
      <c r="I25" s="558"/>
      <c r="J25" s="558"/>
      <c r="K25" s="558"/>
      <c r="L25" s="558"/>
      <c r="M25" s="558"/>
      <c r="N25" s="558"/>
      <c r="O25" s="558"/>
      <c r="P25" s="558"/>
      <c r="Q25" s="558"/>
      <c r="V25" s="311"/>
      <c r="W25" s="563" t="s">
        <v>81</v>
      </c>
      <c r="X25" s="562"/>
      <c r="Y25" s="546"/>
      <c r="Z25" s="303"/>
      <c r="AA25" s="303"/>
      <c r="AB25" s="558"/>
      <c r="AC25" s="558"/>
      <c r="AD25" s="558"/>
      <c r="AE25" s="558"/>
      <c r="AF25" s="558"/>
      <c r="AG25" s="558"/>
      <c r="AH25" s="565"/>
      <c r="AI25" s="558"/>
      <c r="AJ25" s="558"/>
      <c r="AK25" s="564"/>
    </row>
    <row r="26" spans="3:37">
      <c r="C26" s="563"/>
      <c r="D26" s="562"/>
      <c r="E26" s="546"/>
      <c r="F26" s="546"/>
      <c r="G26" s="546"/>
      <c r="H26" s="558"/>
      <c r="I26" s="558"/>
      <c r="J26" s="558"/>
      <c r="K26" s="558"/>
      <c r="L26" s="558"/>
      <c r="M26" s="546"/>
      <c r="N26" s="546"/>
      <c r="O26" s="546"/>
      <c r="P26" s="546"/>
      <c r="Q26" s="546"/>
      <c r="V26" s="311"/>
      <c r="W26" s="563"/>
      <c r="X26" s="562"/>
      <c r="Y26" s="546"/>
      <c r="Z26" s="546"/>
      <c r="AA26" s="546"/>
      <c r="AB26" s="558"/>
      <c r="AC26" s="558"/>
      <c r="AD26" s="558"/>
      <c r="AE26" s="558"/>
      <c r="AF26" s="558"/>
      <c r="AG26" s="546"/>
      <c r="AH26" s="546"/>
      <c r="AI26" s="546"/>
      <c r="AJ26" s="546"/>
      <c r="AK26" s="542"/>
    </row>
    <row r="27" spans="3:37">
      <c r="C27" s="563" t="s">
        <v>94</v>
      </c>
      <c r="D27" s="562"/>
      <c r="E27" s="561"/>
      <c r="F27" s="561"/>
      <c r="G27" s="560"/>
      <c r="H27" s="555"/>
      <c r="I27" s="555"/>
      <c r="J27" s="555"/>
      <c r="K27" s="555"/>
      <c r="L27" s="555"/>
      <c r="N27" s="559"/>
      <c r="O27" s="558"/>
      <c r="P27" s="558"/>
      <c r="Q27" s="546"/>
      <c r="V27" s="311"/>
      <c r="W27" s="563" t="s">
        <v>94</v>
      </c>
      <c r="X27" s="562"/>
      <c r="Y27" s="561"/>
      <c r="Z27" s="561"/>
      <c r="AA27" s="560"/>
      <c r="AB27" s="555"/>
      <c r="AC27" s="555"/>
      <c r="AD27" s="555"/>
      <c r="AE27" s="555"/>
      <c r="AF27" s="555"/>
      <c r="AH27" s="559"/>
      <c r="AI27" s="558"/>
      <c r="AJ27" s="558"/>
      <c r="AK27" s="542"/>
    </row>
    <row r="28" spans="3:37">
      <c r="C28" s="552"/>
      <c r="D28" s="551"/>
      <c r="E28" s="546"/>
      <c r="F28" s="557"/>
      <c r="G28" s="556"/>
      <c r="H28" s="543"/>
      <c r="I28" s="543"/>
      <c r="J28" s="543"/>
      <c r="K28" s="543"/>
      <c r="L28" s="543"/>
      <c r="M28" s="303"/>
      <c r="N28" s="303"/>
      <c r="O28" s="303"/>
      <c r="P28" s="555"/>
      <c r="Q28" s="546"/>
      <c r="V28" s="311"/>
      <c r="W28" s="552"/>
      <c r="X28" s="551"/>
      <c r="Y28" s="546"/>
      <c r="Z28" s="557"/>
      <c r="AA28" s="556"/>
      <c r="AB28" s="543"/>
      <c r="AC28" s="543"/>
      <c r="AD28" s="543"/>
      <c r="AE28" s="543"/>
      <c r="AF28" s="543"/>
      <c r="AG28" s="303"/>
      <c r="AH28" s="303"/>
      <c r="AI28" s="303"/>
      <c r="AJ28" s="555"/>
      <c r="AK28" s="542"/>
    </row>
    <row r="29" spans="3:37">
      <c r="C29" s="552"/>
      <c r="D29" s="551"/>
      <c r="E29" s="546"/>
      <c r="F29" s="554" t="s">
        <v>95</v>
      </c>
      <c r="G29" s="553"/>
      <c r="H29" s="543"/>
      <c r="I29" s="543"/>
      <c r="J29" s="543"/>
      <c r="K29" s="543"/>
      <c r="L29" s="543"/>
      <c r="M29" s="303"/>
      <c r="N29" s="303"/>
      <c r="O29" s="303"/>
      <c r="P29" s="543"/>
      <c r="Q29" s="546"/>
      <c r="V29" s="311"/>
      <c r="W29" s="552"/>
      <c r="X29" s="551"/>
      <c r="Y29" s="546"/>
      <c r="Z29" s="554" t="s">
        <v>95</v>
      </c>
      <c r="AA29" s="553"/>
      <c r="AB29" s="543"/>
      <c r="AC29" s="543"/>
      <c r="AD29" s="543"/>
      <c r="AE29" s="543"/>
      <c r="AF29" s="543"/>
      <c r="AG29" s="303"/>
      <c r="AH29" s="303"/>
      <c r="AI29" s="303"/>
      <c r="AJ29" s="543"/>
      <c r="AK29" s="542"/>
    </row>
    <row r="30" spans="3:37">
      <c r="C30" s="552"/>
      <c r="D30" s="551"/>
      <c r="E30" s="546"/>
      <c r="F30" s="550">
        <f>F37</f>
        <v>0.23</v>
      </c>
      <c r="G30" s="549"/>
      <c r="H30" s="543"/>
      <c r="I30" s="543"/>
      <c r="J30" s="543"/>
      <c r="K30" s="543"/>
      <c r="L30" s="543"/>
      <c r="M30" s="303"/>
      <c r="N30" s="303"/>
      <c r="O30" s="303"/>
      <c r="P30" s="543"/>
      <c r="Q30" s="546"/>
      <c r="V30" s="311"/>
      <c r="W30" s="552"/>
      <c r="X30" s="551"/>
      <c r="Y30" s="546"/>
      <c r="Z30" s="550">
        <f>Z37</f>
        <v>0.24</v>
      </c>
      <c r="AA30" s="549"/>
      <c r="AB30" s="543"/>
      <c r="AC30" s="543"/>
      <c r="AD30" s="543"/>
      <c r="AE30" s="543"/>
      <c r="AF30" s="543"/>
      <c r="AG30" s="303"/>
      <c r="AH30" s="303"/>
      <c r="AI30" s="303"/>
      <c r="AJ30" s="543"/>
      <c r="AK30" s="542"/>
    </row>
    <row r="31" spans="3:37">
      <c r="C31" s="548"/>
      <c r="D31" s="547"/>
      <c r="E31" s="546"/>
      <c r="F31" s="545"/>
      <c r="G31" s="544"/>
      <c r="H31" s="543"/>
      <c r="I31" s="543"/>
      <c r="J31" s="543" t="s">
        <v>650</v>
      </c>
      <c r="K31" s="543"/>
      <c r="L31" s="543"/>
      <c r="M31" s="303"/>
      <c r="N31" s="303"/>
      <c r="O31" s="303"/>
      <c r="P31" s="543"/>
      <c r="Q31" s="546"/>
      <c r="V31" s="311"/>
      <c r="W31" s="548"/>
      <c r="X31" s="547"/>
      <c r="Y31" s="546"/>
      <c r="Z31" s="545"/>
      <c r="AA31" s="544"/>
      <c r="AB31" s="543"/>
      <c r="AC31" s="543"/>
      <c r="AD31" s="543"/>
      <c r="AE31" s="543"/>
      <c r="AF31" s="543"/>
      <c r="AG31" s="303"/>
      <c r="AH31" s="303"/>
      <c r="AI31" s="303"/>
      <c r="AJ31" s="543"/>
      <c r="AK31" s="542"/>
    </row>
    <row r="32" spans="3:37">
      <c r="V32" s="311"/>
      <c r="AK32" s="312"/>
    </row>
    <row r="33" spans="2:38" ht="16">
      <c r="B33" s="304"/>
      <c r="O33" s="541"/>
      <c r="V33" s="315"/>
      <c r="AI33" s="541"/>
      <c r="AK33" s="312"/>
    </row>
    <row r="34" spans="2:38">
      <c r="C34" s="539"/>
      <c r="D34" s="305"/>
      <c r="E34" s="305"/>
      <c r="F34" s="305"/>
      <c r="G34" s="305"/>
      <c r="H34" s="305"/>
      <c r="I34" s="305"/>
      <c r="K34" s="305"/>
      <c r="L34" s="305"/>
      <c r="M34" s="305"/>
      <c r="N34" s="305"/>
      <c r="O34" s="305"/>
      <c r="P34" s="305"/>
      <c r="Q34" s="540" t="s">
        <v>96</v>
      </c>
      <c r="V34" s="311"/>
      <c r="W34" s="539"/>
      <c r="X34" s="305"/>
      <c r="Y34" s="305"/>
      <c r="Z34" s="305"/>
      <c r="AA34" s="305"/>
      <c r="AB34" s="305"/>
      <c r="AC34" s="305"/>
      <c r="AE34" s="305"/>
      <c r="AF34" s="305"/>
      <c r="AG34" s="305"/>
      <c r="AH34" s="305"/>
      <c r="AI34" s="305"/>
      <c r="AJ34" s="305"/>
      <c r="AK34" s="538" t="s">
        <v>96</v>
      </c>
    </row>
    <row r="35" spans="2:38">
      <c r="C35" s="521"/>
      <c r="D35" s="523"/>
      <c r="E35" s="523"/>
      <c r="F35" s="523"/>
      <c r="G35" s="523"/>
      <c r="H35" s="523"/>
      <c r="I35" s="523"/>
      <c r="J35" s="523"/>
      <c r="K35" s="523"/>
      <c r="L35" s="523"/>
      <c r="M35" s="523"/>
      <c r="N35" s="523"/>
      <c r="O35" s="523"/>
      <c r="P35" s="523"/>
      <c r="Q35" s="521"/>
      <c r="V35" s="311"/>
      <c r="W35" s="521"/>
      <c r="X35" s="523"/>
      <c r="Y35" s="523"/>
      <c r="Z35" s="523"/>
      <c r="AA35" s="523"/>
      <c r="AB35" s="523"/>
      <c r="AC35" s="523"/>
      <c r="AD35" s="523"/>
      <c r="AE35" s="523"/>
      <c r="AF35" s="523"/>
      <c r="AG35" s="523"/>
      <c r="AH35" s="523"/>
      <c r="AI35" s="523"/>
      <c r="AJ35" s="523"/>
      <c r="AK35" s="537"/>
    </row>
    <row r="36" spans="2:38">
      <c r="C36" s="536" t="s">
        <v>97</v>
      </c>
      <c r="D36" s="535"/>
      <c r="E36" s="535"/>
      <c r="F36" s="534"/>
      <c r="G36" s="523"/>
      <c r="H36" s="303"/>
      <c r="I36" s="303"/>
      <c r="J36" s="303"/>
      <c r="K36" s="303"/>
      <c r="L36" s="303"/>
      <c r="M36" s="303"/>
      <c r="N36" s="303"/>
      <c r="O36" s="303"/>
      <c r="P36" s="303"/>
      <c r="Q36" s="303"/>
      <c r="R36" s="303"/>
      <c r="S36" s="303"/>
      <c r="T36" s="303"/>
      <c r="V36" s="311"/>
      <c r="W36" s="536" t="s">
        <v>97</v>
      </c>
      <c r="X36" s="535"/>
      <c r="Y36" s="535"/>
      <c r="Z36" s="534"/>
      <c r="AA36" s="523"/>
      <c r="AB36" s="303"/>
      <c r="AC36" s="303"/>
      <c r="AD36" s="303"/>
      <c r="AE36" s="303"/>
      <c r="AF36" s="303"/>
      <c r="AG36" s="303"/>
      <c r="AH36" s="303"/>
      <c r="AI36" s="303"/>
      <c r="AJ36" s="303"/>
      <c r="AK36" s="316"/>
      <c r="AL36" s="303"/>
    </row>
    <row r="37" spans="2:38" ht="15">
      <c r="C37" s="521" t="s">
        <v>95</v>
      </c>
      <c r="D37" s="533"/>
      <c r="F37" s="532">
        <f>tax</f>
        <v>0.23</v>
      </c>
      <c r="G37" s="523"/>
      <c r="H37" s="303"/>
      <c r="I37" s="322"/>
      <c r="J37" s="303"/>
      <c r="K37" s="303"/>
      <c r="L37" s="303"/>
      <c r="M37" s="303"/>
      <c r="N37" s="303"/>
      <c r="O37" s="303"/>
      <c r="P37" s="303"/>
      <c r="Q37" s="303"/>
      <c r="R37" s="303"/>
      <c r="S37" s="303"/>
      <c r="T37" s="303"/>
      <c r="V37" s="311"/>
      <c r="W37" s="521" t="s">
        <v>95</v>
      </c>
      <c r="X37" s="533"/>
      <c r="Z37" s="532">
        <f>24%</f>
        <v>0.24</v>
      </c>
      <c r="AA37" s="523"/>
      <c r="AB37" s="303"/>
      <c r="AC37" s="303"/>
      <c r="AD37" s="303"/>
      <c r="AE37" s="303"/>
      <c r="AF37" s="303"/>
      <c r="AG37" s="303"/>
      <c r="AH37" s="303"/>
      <c r="AI37" s="303"/>
      <c r="AJ37" s="303"/>
      <c r="AK37" s="316"/>
      <c r="AL37" s="303"/>
    </row>
    <row r="38" spans="2:38">
      <c r="C38" s="521" t="s">
        <v>98</v>
      </c>
      <c r="D38" s="520"/>
      <c r="E38" s="521"/>
      <c r="F38" s="531">
        <v>0.04</v>
      </c>
      <c r="G38" s="523"/>
      <c r="H38" s="303"/>
      <c r="I38" s="303"/>
      <c r="J38" s="303"/>
      <c r="K38" s="303"/>
      <c r="L38" s="303"/>
      <c r="M38" s="303"/>
      <c r="N38" s="303"/>
      <c r="O38" s="303"/>
      <c r="P38" s="303"/>
      <c r="Q38" s="303"/>
      <c r="R38" s="303"/>
      <c r="S38" s="303"/>
      <c r="T38" s="306"/>
      <c r="V38" s="311"/>
      <c r="W38" s="521" t="s">
        <v>98</v>
      </c>
      <c r="X38" s="520"/>
      <c r="Y38" s="521"/>
      <c r="Z38" s="531">
        <v>0.04</v>
      </c>
      <c r="AA38" s="523"/>
      <c r="AB38" s="303"/>
      <c r="AC38" s="303"/>
      <c r="AD38" s="303"/>
      <c r="AE38" s="303"/>
      <c r="AF38" s="303"/>
      <c r="AG38" s="303"/>
      <c r="AH38" s="303"/>
      <c r="AI38" s="303"/>
      <c r="AJ38" s="303"/>
      <c r="AK38" s="316"/>
      <c r="AL38" s="303"/>
    </row>
    <row r="39" spans="2:38">
      <c r="C39" s="521" t="s">
        <v>99</v>
      </c>
      <c r="D39" s="520"/>
      <c r="E39" s="521"/>
      <c r="F39" s="530">
        <v>0.69</v>
      </c>
      <c r="G39" s="523"/>
      <c r="H39" s="303"/>
      <c r="I39" s="303"/>
      <c r="J39" s="303"/>
      <c r="K39" s="303"/>
      <c r="L39" s="303"/>
      <c r="M39" s="303"/>
      <c r="N39" s="303"/>
      <c r="O39" s="303"/>
      <c r="P39" s="303"/>
      <c r="Q39" s="303"/>
      <c r="R39" s="303"/>
      <c r="S39" s="303"/>
      <c r="T39" s="307"/>
      <c r="V39" s="311"/>
      <c r="W39" s="521" t="s">
        <v>99</v>
      </c>
      <c r="X39" s="520"/>
      <c r="Y39" s="521"/>
      <c r="Z39" s="530">
        <f>AH54</f>
        <v>0.7301724137931036</v>
      </c>
      <c r="AA39" s="523"/>
      <c r="AB39" s="303"/>
      <c r="AC39" s="303"/>
      <c r="AD39" s="303"/>
      <c r="AE39" s="303"/>
      <c r="AF39" s="303"/>
      <c r="AG39" s="303"/>
      <c r="AH39" s="303"/>
      <c r="AI39" s="303"/>
      <c r="AJ39" s="303"/>
      <c r="AK39" s="316"/>
      <c r="AL39" s="303"/>
    </row>
    <row r="40" spans="2:38">
      <c r="C40" s="528" t="s">
        <v>100</v>
      </c>
      <c r="D40" s="529"/>
      <c r="E40" s="528"/>
      <c r="F40" s="527">
        <f>B77/F42</f>
        <v>4.0223540775493311E-2</v>
      </c>
      <c r="G40" s="521"/>
      <c r="H40" s="303"/>
      <c r="I40" s="303"/>
      <c r="J40" s="303"/>
      <c r="K40" s="303"/>
      <c r="L40" s="303"/>
      <c r="M40" s="303"/>
      <c r="N40" s="303"/>
      <c r="O40" s="303"/>
      <c r="P40" s="303"/>
      <c r="Q40" s="303"/>
      <c r="R40" s="303"/>
      <c r="S40" s="303"/>
      <c r="T40" s="303"/>
      <c r="V40" s="311"/>
      <c r="W40" s="528" t="s">
        <v>100</v>
      </c>
      <c r="X40" s="529"/>
      <c r="Y40" s="528"/>
      <c r="Z40" s="527">
        <v>6.3754545454545439E-2</v>
      </c>
      <c r="AA40" s="521"/>
      <c r="AB40" s="303"/>
      <c r="AC40" s="303"/>
      <c r="AD40" s="303"/>
      <c r="AE40" s="303"/>
      <c r="AF40" s="303"/>
      <c r="AG40" s="303"/>
      <c r="AH40" s="303"/>
      <c r="AI40" s="303"/>
      <c r="AJ40" s="303"/>
      <c r="AK40" s="316"/>
      <c r="AL40" s="303"/>
    </row>
    <row r="41" spans="2:38">
      <c r="C41" s="525" t="s">
        <v>101</v>
      </c>
      <c r="D41" s="526"/>
      <c r="E41" s="525"/>
      <c r="F41" s="524">
        <v>0.05</v>
      </c>
      <c r="G41" s="523"/>
      <c r="H41" s="303"/>
      <c r="I41" s="303"/>
      <c r="J41" s="303"/>
      <c r="K41" s="303"/>
      <c r="L41" s="303"/>
      <c r="M41" s="303"/>
      <c r="N41" s="303"/>
      <c r="O41" s="303"/>
      <c r="P41" s="303"/>
      <c r="Q41" s="303"/>
      <c r="R41" s="303"/>
      <c r="S41" s="303"/>
      <c r="T41" s="303"/>
      <c r="V41" s="311"/>
      <c r="W41" s="525" t="s">
        <v>101</v>
      </c>
      <c r="X41" s="526"/>
      <c r="Y41" s="525"/>
      <c r="Z41" s="524">
        <v>0.05</v>
      </c>
      <c r="AA41" s="523"/>
      <c r="AB41" s="303"/>
      <c r="AC41" s="303"/>
      <c r="AD41" s="303"/>
      <c r="AE41" s="303"/>
      <c r="AF41" s="303"/>
      <c r="AG41" s="303"/>
      <c r="AH41" s="303"/>
      <c r="AI41" s="303"/>
      <c r="AJ41" s="303"/>
      <c r="AK41" s="316"/>
      <c r="AL41" s="303"/>
    </row>
    <row r="42" spans="2:38" ht="54" customHeight="1">
      <c r="C42" s="521" t="s">
        <v>102</v>
      </c>
      <c r="D42" s="520"/>
      <c r="E42" s="521"/>
      <c r="F42" s="519">
        <f>B63+B70</f>
        <v>14494</v>
      </c>
      <c r="G42" s="523"/>
      <c r="Q42" s="303"/>
      <c r="R42" s="303"/>
      <c r="S42" s="303"/>
      <c r="T42" s="303"/>
      <c r="V42" s="311"/>
      <c r="W42" s="521" t="s">
        <v>102</v>
      </c>
      <c r="X42" s="520"/>
      <c r="Y42" s="521"/>
      <c r="Z42" s="522">
        <f>14970+22000</f>
        <v>36970</v>
      </c>
      <c r="AA42" s="321"/>
      <c r="AB42" s="303"/>
      <c r="AC42" s="303"/>
      <c r="AD42" s="303"/>
      <c r="AE42" s="303"/>
      <c r="AF42" s="303"/>
      <c r="AG42" s="303"/>
      <c r="AH42" s="303"/>
      <c r="AI42" s="303"/>
      <c r="AJ42" s="303"/>
      <c r="AK42" s="316"/>
      <c r="AL42" s="303"/>
    </row>
    <row r="43" spans="2:38" ht="16">
      <c r="C43" s="521" t="s">
        <v>104</v>
      </c>
      <c r="D43" s="520"/>
      <c r="E43" s="521"/>
      <c r="F43" s="519">
        <v>71.16</v>
      </c>
      <c r="G43"/>
      <c r="Q43" s="303"/>
      <c r="R43" s="303"/>
      <c r="S43" s="303"/>
      <c r="T43" s="303"/>
      <c r="V43" s="311"/>
      <c r="W43" s="521" t="s">
        <v>104</v>
      </c>
      <c r="X43" s="520"/>
      <c r="Y43" s="521"/>
      <c r="Z43" s="519">
        <v>71.16</v>
      </c>
      <c r="AA43"/>
      <c r="AB43"/>
      <c r="AC43"/>
      <c r="AD43" s="303"/>
      <c r="AE43" s="303"/>
      <c r="AF43" s="303"/>
      <c r="AG43" s="303"/>
      <c r="AH43" s="303"/>
      <c r="AI43" s="303"/>
      <c r="AJ43" s="303"/>
      <c r="AK43" s="316"/>
      <c r="AL43" s="303"/>
    </row>
    <row r="44" spans="2:38" ht="18">
      <c r="C44" s="521" t="s">
        <v>105</v>
      </c>
      <c r="D44" s="520"/>
      <c r="E44" s="308"/>
      <c r="F44" s="519">
        <v>478.18</v>
      </c>
      <c r="G44"/>
      <c r="Q44" s="303"/>
      <c r="R44" s="303"/>
      <c r="S44" s="303"/>
      <c r="T44" s="303"/>
      <c r="V44" s="311"/>
      <c r="W44" s="521" t="s">
        <v>105</v>
      </c>
      <c r="X44" s="520"/>
      <c r="Y44" s="308"/>
      <c r="Z44" s="519">
        <v>478.18</v>
      </c>
      <c r="AA44"/>
      <c r="AB44"/>
      <c r="AC44"/>
      <c r="AD44" s="303"/>
      <c r="AE44" s="303"/>
      <c r="AF44" s="303"/>
      <c r="AG44" s="303"/>
      <c r="AH44" s="303"/>
      <c r="AI44" s="303"/>
      <c r="AJ44" s="303"/>
      <c r="AK44" s="316"/>
      <c r="AL44" s="303"/>
    </row>
    <row r="45" spans="2:38" ht="17" thickBot="1">
      <c r="C45"/>
      <c r="D45"/>
      <c r="E45"/>
      <c r="F45"/>
      <c r="G45"/>
      <c r="Q45" s="303"/>
      <c r="R45" s="303"/>
      <c r="S45" s="303"/>
      <c r="T45" s="303"/>
      <c r="U45" s="303"/>
      <c r="V45" s="317"/>
      <c r="W45" s="318"/>
      <c r="X45" s="318"/>
      <c r="Y45" s="318"/>
      <c r="Z45" s="319"/>
      <c r="AA45" s="319"/>
      <c r="AB45" s="319"/>
      <c r="AC45" s="319"/>
      <c r="AD45" s="319"/>
      <c r="AE45" s="319"/>
      <c r="AF45" s="319"/>
      <c r="AG45" s="319"/>
      <c r="AH45" s="319"/>
      <c r="AI45" s="319"/>
      <c r="AJ45" s="319"/>
      <c r="AK45" s="320"/>
    </row>
    <row r="46" spans="2:38"/>
    <row r="47" spans="2:38" ht="14" thickBot="1"/>
    <row r="48" spans="2:38" ht="16">
      <c r="AG48" s="518" t="s">
        <v>645</v>
      </c>
      <c r="AH48" s="517"/>
    </row>
    <row r="49" spans="1:35" ht="16">
      <c r="AG49" s="514" t="s">
        <v>649</v>
      </c>
      <c r="AH49" s="513">
        <v>0.55000000000000004</v>
      </c>
    </row>
    <row r="50" spans="1:35" ht="16">
      <c r="AG50" s="514" t="s">
        <v>648</v>
      </c>
      <c r="AH50" s="513">
        <f>0.3/0.7</f>
        <v>0.4285714285714286</v>
      </c>
    </row>
    <row r="51" spans="1:35" ht="16">
      <c r="AG51" s="514" t="s">
        <v>175</v>
      </c>
      <c r="AH51" s="516">
        <v>0.24</v>
      </c>
    </row>
    <row r="52" spans="1:35" ht="16">
      <c r="AG52" s="515" t="s">
        <v>647</v>
      </c>
      <c r="AH52" s="513">
        <f>AH49/((1+(AH50*(1-AH51))))</f>
        <v>0.41487068965517249</v>
      </c>
    </row>
    <row r="53" spans="1:35" ht="16">
      <c r="AG53" s="514" t="s">
        <v>646</v>
      </c>
      <c r="AH53" s="513">
        <f>0.5/0.5</f>
        <v>1</v>
      </c>
    </row>
    <row r="54" spans="1:35" ht="17" thickBot="1">
      <c r="AG54" s="512" t="s">
        <v>645</v>
      </c>
      <c r="AH54" s="511">
        <f>AH52*(1+AH53*(1-AH51))</f>
        <v>0.7301724137931036</v>
      </c>
    </row>
    <row r="55" spans="1:35">
      <c r="U55" s="645" t="s">
        <v>103</v>
      </c>
      <c r="V55" s="645"/>
      <c r="W55" s="645"/>
      <c r="X55" s="645"/>
      <c r="Y55" s="645"/>
      <c r="Z55" s="645"/>
      <c r="AA55" s="645"/>
      <c r="AB55" s="645"/>
      <c r="AC55" s="645"/>
    </row>
    <row r="56" spans="1:35">
      <c r="U56" s="645"/>
      <c r="V56" s="645"/>
      <c r="W56" s="645"/>
      <c r="X56" s="645"/>
      <c r="Y56" s="645"/>
      <c r="Z56" s="645"/>
      <c r="AA56" s="645"/>
      <c r="AB56" s="645"/>
      <c r="AC56" s="645"/>
    </row>
    <row r="57" spans="1:35">
      <c r="U57" s="645"/>
      <c r="V57" s="645"/>
      <c r="W57" s="645"/>
      <c r="X57" s="645"/>
      <c r="Y57" s="645"/>
      <c r="Z57" s="645"/>
      <c r="AA57" s="645"/>
      <c r="AB57" s="645"/>
      <c r="AC57" s="645"/>
    </row>
    <row r="58" spans="1:35">
      <c r="U58" s="645"/>
      <c r="V58" s="645"/>
      <c r="W58" s="645"/>
      <c r="X58" s="645"/>
      <c r="Y58" s="645"/>
      <c r="Z58" s="645"/>
      <c r="AA58" s="645"/>
      <c r="AB58" s="645"/>
      <c r="AC58" s="645"/>
    </row>
    <row r="59" spans="1:35"/>
    <row r="60" spans="1:35" ht="16">
      <c r="A60" s="105" t="s">
        <v>106</v>
      </c>
      <c r="C60"/>
      <c r="D60"/>
      <c r="E60"/>
      <c r="F60"/>
      <c r="G60"/>
      <c r="H60"/>
      <c r="I60"/>
      <c r="J60" s="303"/>
      <c r="K60" s="303"/>
      <c r="L60" s="303"/>
      <c r="M60" s="303"/>
      <c r="N60" s="303"/>
      <c r="O60" s="303"/>
      <c r="P60" s="303"/>
      <c r="Q60" s="303"/>
      <c r="R60" s="303"/>
      <c r="S60" s="303"/>
      <c r="T60" s="303"/>
      <c r="U60" s="303"/>
      <c r="V60" s="303"/>
      <c r="W60" s="303"/>
      <c r="X60" s="303"/>
      <c r="Y60" s="303"/>
    </row>
    <row r="61" spans="1:35" customFormat="1" ht="15" customHeight="1">
      <c r="A61" s="25" t="s">
        <v>107</v>
      </c>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G61" s="105"/>
      <c r="AH61" s="105"/>
      <c r="AI61" s="105"/>
    </row>
    <row r="62" spans="1:35" customFormat="1" ht="15" customHeight="1" outlineLevel="1">
      <c r="A62" s="30" t="s">
        <v>108</v>
      </c>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G62" s="105"/>
      <c r="AH62" s="105"/>
      <c r="AI62" s="105"/>
    </row>
    <row r="63" spans="1:35" customFormat="1" ht="15" customHeight="1" outlineLevel="2">
      <c r="A63" s="29" t="s">
        <v>109</v>
      </c>
      <c r="B63" s="24">
        <v>1085</v>
      </c>
      <c r="C63" s="24">
        <v>594</v>
      </c>
      <c r="D63" s="24">
        <v>161.601</v>
      </c>
      <c r="E63" s="24">
        <v>686.30100000000004</v>
      </c>
      <c r="F63" s="24">
        <v>597.58199999999999</v>
      </c>
      <c r="G63" s="24">
        <v>1651.5609999999999</v>
      </c>
      <c r="H63" s="24">
        <v>41.279000000000003</v>
      </c>
      <c r="I63" s="24">
        <v>786.505</v>
      </c>
      <c r="J63" s="24">
        <v>534.01300000000003</v>
      </c>
      <c r="K63" s="24">
        <v>98.471999999999994</v>
      </c>
      <c r="L63" s="24">
        <v>5050.0519999999997</v>
      </c>
      <c r="M63" s="24">
        <v>375.75200000000001</v>
      </c>
      <c r="N63" s="24">
        <v>248.93299999999999</v>
      </c>
      <c r="O63" s="24">
        <v>254.65</v>
      </c>
      <c r="P63" s="24">
        <v>389.00599999999997</v>
      </c>
      <c r="Q63" s="24">
        <v>7.97</v>
      </c>
      <c r="R63" s="24">
        <v>9.1630000000000003</v>
      </c>
      <c r="S63" s="24">
        <v>4.8959999999999999</v>
      </c>
      <c r="T63" s="24">
        <v>22.468</v>
      </c>
      <c r="U63" s="24">
        <v>135.565</v>
      </c>
      <c r="V63" s="24">
        <v>474.93099999999998</v>
      </c>
      <c r="W63" s="24">
        <v>236.667</v>
      </c>
      <c r="X63" s="24">
        <v>122.76900000000001</v>
      </c>
      <c r="Y63" s="24">
        <v>80.114000000000004</v>
      </c>
      <c r="Z63" s="24">
        <v>53.906999999999996</v>
      </c>
      <c r="AA63" s="24">
        <v>51.067</v>
      </c>
      <c r="AB63" s="24">
        <v>33.863999999999997</v>
      </c>
      <c r="AC63" s="24">
        <v>157.25299999999999</v>
      </c>
      <c r="AD63" s="24">
        <v>27.552</v>
      </c>
      <c r="AE63" s="24">
        <v>22.324000000000002</v>
      </c>
      <c r="AG63" s="105"/>
      <c r="AH63" s="105"/>
      <c r="AI63" s="105"/>
    </row>
    <row r="64" spans="1:35" customFormat="1" ht="15" customHeight="1" outlineLevel="2">
      <c r="A64" s="17" t="s">
        <v>110</v>
      </c>
      <c r="B64" s="18">
        <v>6512</v>
      </c>
      <c r="C64" s="18">
        <v>6290</v>
      </c>
      <c r="D64" s="18">
        <v>6025.7569999999996</v>
      </c>
      <c r="E64" s="18">
        <v>5752.9579999999996</v>
      </c>
      <c r="F64" s="18">
        <v>4884.7809999999999</v>
      </c>
      <c r="G64" s="18">
        <v>3447.0650000000001</v>
      </c>
      <c r="H64" s="18">
        <v>4314.62</v>
      </c>
      <c r="I64" s="18">
        <v>4136.482</v>
      </c>
      <c r="J64" s="18">
        <v>3971.1120000000001</v>
      </c>
      <c r="K64" s="18">
        <v>2935.982</v>
      </c>
      <c r="L64" s="18">
        <v>2881.953</v>
      </c>
      <c r="M64" s="18">
        <v>2831.0279999999998</v>
      </c>
      <c r="N64" s="18">
        <v>2463.4940000000001</v>
      </c>
      <c r="O64" s="18">
        <v>2209.4690000000001</v>
      </c>
      <c r="P64" s="18">
        <v>2183.4169999999999</v>
      </c>
      <c r="Q64" s="18">
        <v>1953.0920000000001</v>
      </c>
      <c r="R64" s="18">
        <v>1856.8869999999999</v>
      </c>
      <c r="S64" s="18">
        <v>2048.759</v>
      </c>
      <c r="T64" s="18">
        <v>1981.19</v>
      </c>
      <c r="U64" s="18">
        <v>1891.357</v>
      </c>
      <c r="V64" s="18">
        <v>1795.8240000000001</v>
      </c>
      <c r="W64" s="18">
        <v>1742.578</v>
      </c>
      <c r="X64" s="18">
        <v>1637.5050000000001</v>
      </c>
      <c r="Y64" s="18">
        <v>1349.33</v>
      </c>
      <c r="Z64" s="18">
        <v>1271.817</v>
      </c>
      <c r="AA64" s="18">
        <v>1186.721</v>
      </c>
      <c r="AB64" s="18">
        <v>1013.302</v>
      </c>
      <c r="AC64" s="18">
        <v>849.15899999999999</v>
      </c>
      <c r="AD64" s="18">
        <v>827.59299999999996</v>
      </c>
      <c r="AE64" s="18">
        <v>779.12400000000002</v>
      </c>
      <c r="AG64" s="105"/>
      <c r="AH64" s="105"/>
      <c r="AI64" s="105"/>
    </row>
    <row r="65" spans="1:35" customFormat="1" ht="15" customHeight="1" outlineLevel="2">
      <c r="A65" s="29" t="s">
        <v>111</v>
      </c>
      <c r="B65" s="24">
        <v>51</v>
      </c>
      <c r="C65" s="24">
        <v>131</v>
      </c>
      <c r="D65" s="24">
        <v>101.89400000000001</v>
      </c>
      <c r="E65" s="24">
        <v>40.042000000000002</v>
      </c>
      <c r="F65" s="24">
        <v>22.643999999999998</v>
      </c>
      <c r="G65" s="24">
        <v>2.9380000000000002</v>
      </c>
      <c r="H65" s="24">
        <v>17.343</v>
      </c>
      <c r="I65" s="24">
        <v>56.792999999999999</v>
      </c>
      <c r="J65" s="24">
        <v>14.54</v>
      </c>
      <c r="K65" s="24">
        <v>110.69</v>
      </c>
      <c r="L65" s="23"/>
      <c r="M65" s="23"/>
      <c r="N65" s="24">
        <v>0</v>
      </c>
      <c r="O65" s="24">
        <v>50.316000000000003</v>
      </c>
      <c r="P65" s="24">
        <v>146.083</v>
      </c>
      <c r="Q65" s="24">
        <v>178.02199999999999</v>
      </c>
      <c r="R65" s="24">
        <v>486.34800000000001</v>
      </c>
      <c r="S65" s="24">
        <v>527.79600000000005</v>
      </c>
      <c r="T65" s="24">
        <v>488.84899999999999</v>
      </c>
      <c r="U65" s="24">
        <v>453.7</v>
      </c>
      <c r="V65" s="24">
        <v>444.53300000000002</v>
      </c>
      <c r="W65" s="24">
        <v>422.41899999999998</v>
      </c>
      <c r="X65" s="24">
        <v>316.404</v>
      </c>
      <c r="Y65" s="24">
        <v>41.595999999999997</v>
      </c>
      <c r="Z65" s="24">
        <v>123.33199999999999</v>
      </c>
      <c r="AA65" s="24">
        <v>17.914000000000001</v>
      </c>
      <c r="AB65" s="24">
        <v>6.1029999999999998</v>
      </c>
      <c r="AC65" s="24">
        <v>25.523</v>
      </c>
      <c r="AD65" s="24">
        <v>17.741</v>
      </c>
      <c r="AE65" s="24">
        <v>23.33</v>
      </c>
      <c r="AG65" s="105"/>
      <c r="AH65" s="105"/>
      <c r="AI65" s="105"/>
    </row>
    <row r="66" spans="1:35" customFormat="1" ht="15" customHeight="1" outlineLevel="2">
      <c r="A66" s="46" t="s">
        <v>112</v>
      </c>
      <c r="B66" s="14">
        <v>2268</v>
      </c>
      <c r="C66" s="14">
        <v>2226</v>
      </c>
      <c r="D66" s="14">
        <v>2251.181</v>
      </c>
      <c r="E66" s="14">
        <v>2270.7530000000002</v>
      </c>
      <c r="F66" s="14">
        <v>1814.837</v>
      </c>
      <c r="G66" s="14">
        <v>1616.289</v>
      </c>
      <c r="H66" s="14">
        <v>1729.941</v>
      </c>
      <c r="I66" s="14">
        <v>1608.9659999999999</v>
      </c>
      <c r="J66" s="14">
        <v>1576.221</v>
      </c>
      <c r="K66" s="14">
        <v>1289.3119999999999</v>
      </c>
      <c r="L66" s="14">
        <v>1467.61</v>
      </c>
      <c r="M66" s="14">
        <v>1160.8499999999999</v>
      </c>
      <c r="N66" s="14">
        <v>1036.855</v>
      </c>
      <c r="O66" s="14">
        <v>909.14400000000001</v>
      </c>
      <c r="P66" s="14">
        <v>856.56899999999996</v>
      </c>
      <c r="Q66" s="14">
        <v>870.11400000000003</v>
      </c>
      <c r="R66" s="14">
        <v>797.75599999999997</v>
      </c>
      <c r="S66" s="14">
        <v>917.89200000000005</v>
      </c>
      <c r="T66" s="14">
        <v>922.58199999999999</v>
      </c>
      <c r="U66" s="14">
        <v>745.78099999999995</v>
      </c>
      <c r="V66" s="14">
        <v>742.28200000000004</v>
      </c>
      <c r="W66" s="14">
        <v>724.97</v>
      </c>
      <c r="X66" s="14">
        <v>624.45100000000002</v>
      </c>
      <c r="Y66" s="14">
        <v>768.31700000000001</v>
      </c>
      <c r="Z66" s="14">
        <v>640.83900000000006</v>
      </c>
      <c r="AA66" s="14">
        <v>527.23299999999995</v>
      </c>
      <c r="AB66" s="14">
        <v>374.27100000000002</v>
      </c>
      <c r="AC66" s="14">
        <v>292.255</v>
      </c>
      <c r="AD66" s="14">
        <v>240.928</v>
      </c>
      <c r="AE66" s="14">
        <v>212.74600000000001</v>
      </c>
      <c r="AG66" s="105"/>
      <c r="AH66" s="105"/>
      <c r="AI66" s="105"/>
    </row>
    <row r="67" spans="1:35" customFormat="1" ht="15" customHeight="1" outlineLevel="3">
      <c r="A67" s="22" t="s">
        <v>113</v>
      </c>
      <c r="B67" s="24">
        <v>2268</v>
      </c>
      <c r="C67" s="24">
        <v>2226</v>
      </c>
      <c r="D67" s="24">
        <v>2251.181</v>
      </c>
      <c r="E67" s="24">
        <v>2270.7530000000002</v>
      </c>
      <c r="F67" s="24">
        <v>1814.837</v>
      </c>
      <c r="G67" s="24">
        <v>1616.289</v>
      </c>
      <c r="H67" s="24">
        <v>1729.941</v>
      </c>
      <c r="I67" s="24">
        <v>1608.9659999999999</v>
      </c>
      <c r="J67" s="24">
        <v>1576.221</v>
      </c>
      <c r="K67" s="24">
        <v>1289.3119999999999</v>
      </c>
      <c r="L67" s="24">
        <v>1467.61</v>
      </c>
      <c r="M67" s="24">
        <v>1160.8499999999999</v>
      </c>
      <c r="N67" s="24">
        <v>1036.855</v>
      </c>
      <c r="O67" s="24">
        <v>909.14400000000001</v>
      </c>
      <c r="P67" s="24">
        <v>856.56899999999996</v>
      </c>
      <c r="Q67" s="24">
        <v>870.11400000000003</v>
      </c>
      <c r="R67" s="24">
        <v>797.75599999999997</v>
      </c>
      <c r="S67" s="24">
        <v>917.89200000000005</v>
      </c>
      <c r="T67" s="24">
        <v>922.58199999999999</v>
      </c>
      <c r="U67" s="24">
        <v>745.78099999999995</v>
      </c>
      <c r="V67" s="24">
        <v>742.28200000000004</v>
      </c>
      <c r="W67" s="24">
        <v>724.97</v>
      </c>
      <c r="X67" s="24">
        <v>624.45100000000002</v>
      </c>
      <c r="Y67" s="24">
        <v>768.31700000000001</v>
      </c>
      <c r="Z67" s="24">
        <v>640.83900000000006</v>
      </c>
      <c r="AA67" s="24">
        <v>527.23299999999995</v>
      </c>
      <c r="AB67" s="24">
        <v>374.27100000000002</v>
      </c>
      <c r="AC67" s="24">
        <v>292.255</v>
      </c>
      <c r="AD67" s="24">
        <v>240.928</v>
      </c>
      <c r="AE67" s="24">
        <v>212.74600000000001</v>
      </c>
      <c r="AG67" s="105"/>
      <c r="AH67" s="105"/>
      <c r="AI67" s="105"/>
    </row>
    <row r="68" spans="1:35" customFormat="1" ht="15" customHeight="1" outlineLevel="2">
      <c r="A68" s="17" t="s">
        <v>114</v>
      </c>
      <c r="B68" s="18">
        <v>9916</v>
      </c>
      <c r="C68" s="18">
        <v>9241</v>
      </c>
      <c r="D68" s="18">
        <v>8540.4330000000009</v>
      </c>
      <c r="E68" s="18">
        <v>8750.0540000000001</v>
      </c>
      <c r="F68" s="18">
        <v>7319.8440000000001</v>
      </c>
      <c r="G68" s="18">
        <v>6717.8530000000001</v>
      </c>
      <c r="H68" s="18">
        <v>6103.183</v>
      </c>
      <c r="I68" s="18">
        <v>6588.7460000000001</v>
      </c>
      <c r="J68" s="18">
        <v>6095.8860000000004</v>
      </c>
      <c r="K68" s="18">
        <v>4434.4560000000001</v>
      </c>
      <c r="L68" s="18">
        <v>9399.6149999999998</v>
      </c>
      <c r="M68" s="18">
        <v>4367.63</v>
      </c>
      <c r="N68" s="18">
        <v>3749.2820000000002</v>
      </c>
      <c r="O68" s="18">
        <v>3423.5790000000002</v>
      </c>
      <c r="P68" s="18">
        <v>3575.0749999999998</v>
      </c>
      <c r="Q68" s="18">
        <v>3009.1979999999999</v>
      </c>
      <c r="R68" s="18">
        <v>3150.154</v>
      </c>
      <c r="S68" s="18">
        <v>3499.3429999999998</v>
      </c>
      <c r="T68" s="18">
        <v>3415.0889999999999</v>
      </c>
      <c r="U68" s="18">
        <v>3226.4029999999998</v>
      </c>
      <c r="V68" s="18">
        <v>3457.57</v>
      </c>
      <c r="W68" s="18">
        <v>3126.634</v>
      </c>
      <c r="X68" s="18">
        <v>2701.1289999999999</v>
      </c>
      <c r="Y68" s="18">
        <v>2239.357</v>
      </c>
      <c r="Z68" s="18">
        <v>2089.895</v>
      </c>
      <c r="AA68" s="18">
        <v>1782.9349999999999</v>
      </c>
      <c r="AB68" s="18">
        <v>1427.54</v>
      </c>
      <c r="AC68" s="18">
        <v>1324.19</v>
      </c>
      <c r="AD68" s="18">
        <v>1113.8140000000001</v>
      </c>
      <c r="AE68" s="18">
        <v>1037.5239999999999</v>
      </c>
    </row>
    <row r="69" spans="1:35" customFormat="1" ht="15" customHeight="1" outlineLevel="1">
      <c r="A69" s="15" t="s">
        <v>115</v>
      </c>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row>
    <row r="70" spans="1:35" customFormat="1" ht="15" customHeight="1" outlineLevel="2">
      <c r="A70" s="46" t="s">
        <v>116</v>
      </c>
      <c r="B70" s="14">
        <v>13409</v>
      </c>
      <c r="C70" s="14">
        <v>12351</v>
      </c>
      <c r="D70" s="14">
        <v>11004.266</v>
      </c>
      <c r="E70" s="14">
        <v>10703.348</v>
      </c>
      <c r="F70" s="14">
        <v>11222.665000000001</v>
      </c>
      <c r="G70" s="14">
        <v>13425.981</v>
      </c>
      <c r="H70" s="14">
        <v>8122.058</v>
      </c>
      <c r="I70" s="14">
        <v>7540.7650000000003</v>
      </c>
      <c r="J70" s="14">
        <v>7660.8770000000004</v>
      </c>
      <c r="K70" s="14">
        <v>7336.93</v>
      </c>
      <c r="L70" s="14">
        <v>2271.8249999999998</v>
      </c>
      <c r="M70" s="14">
        <v>2384.1669999999999</v>
      </c>
      <c r="N70" s="14">
        <v>2639.9859999999999</v>
      </c>
      <c r="O70" s="14">
        <v>2763.6880000000001</v>
      </c>
      <c r="P70" s="14">
        <v>2279.5169999999998</v>
      </c>
      <c r="Q70" s="14">
        <v>2472.6619999999998</v>
      </c>
      <c r="R70" s="14">
        <v>2467.4859999999999</v>
      </c>
      <c r="S70" s="14">
        <v>1975.4349999999999</v>
      </c>
      <c r="T70" s="14">
        <v>1758.2270000000001</v>
      </c>
      <c r="U70" s="14">
        <v>1627.127</v>
      </c>
      <c r="V70" s="14">
        <v>956.17700000000002</v>
      </c>
      <c r="W70" s="14">
        <v>1231.4929999999999</v>
      </c>
      <c r="X70" s="14">
        <v>1249.4670000000001</v>
      </c>
      <c r="Y70" s="14">
        <v>1176.307</v>
      </c>
      <c r="Z70" s="14">
        <v>961.42100000000005</v>
      </c>
      <c r="AA70" s="14">
        <v>1023.6420000000001</v>
      </c>
      <c r="AB70" s="14">
        <v>997.71699999999998</v>
      </c>
      <c r="AC70" s="14">
        <v>867.01700000000005</v>
      </c>
      <c r="AD70" s="14">
        <v>685.62</v>
      </c>
      <c r="AE70" s="14">
        <v>581.73400000000004</v>
      </c>
    </row>
    <row r="71" spans="1:35" customFormat="1" ht="15" customHeight="1" outlineLevel="3">
      <c r="A71" s="22" t="s">
        <v>117</v>
      </c>
      <c r="B71" s="24">
        <v>11973</v>
      </c>
      <c r="C71" s="24">
        <v>11206</v>
      </c>
      <c r="D71" s="24">
        <v>10088.11</v>
      </c>
      <c r="E71" s="24">
        <v>9879.7060000000001</v>
      </c>
      <c r="F71" s="24">
        <v>10536.902</v>
      </c>
      <c r="G71" s="24">
        <v>12833.543</v>
      </c>
      <c r="H71" s="24">
        <v>8122.058</v>
      </c>
      <c r="I71" s="24">
        <v>7540.7650000000003</v>
      </c>
      <c r="J71" s="24">
        <v>7660.8770000000004</v>
      </c>
      <c r="K71" s="24">
        <v>7336.93</v>
      </c>
      <c r="L71" s="24">
        <v>2271.8249999999998</v>
      </c>
      <c r="M71" s="24">
        <v>2384.1669999999999</v>
      </c>
      <c r="N71" s="24">
        <v>2639.9859999999999</v>
      </c>
      <c r="O71" s="24">
        <v>2763.6880000000001</v>
      </c>
      <c r="P71" s="24">
        <v>2279.5169999999998</v>
      </c>
      <c r="Q71" s="24">
        <v>2472.6619999999998</v>
      </c>
      <c r="R71" s="24">
        <v>2467.4859999999999</v>
      </c>
      <c r="S71" s="24">
        <v>1975.4349999999999</v>
      </c>
      <c r="T71" s="24">
        <v>1758.2270000000001</v>
      </c>
      <c r="U71" s="24">
        <v>1627.127</v>
      </c>
      <c r="V71" s="24">
        <v>956.17700000000002</v>
      </c>
      <c r="W71" s="24">
        <v>1200.3599999999999</v>
      </c>
      <c r="X71" s="24">
        <v>1215.9390000000001</v>
      </c>
      <c r="Y71" s="24">
        <v>1171.6079999999999</v>
      </c>
      <c r="Z71" s="24">
        <v>961.42100000000005</v>
      </c>
      <c r="AA71" s="24">
        <v>1023.6420000000001</v>
      </c>
      <c r="AB71" s="24">
        <v>997.71699999999998</v>
      </c>
      <c r="AC71" s="24">
        <v>867.01700000000005</v>
      </c>
      <c r="AD71" s="24">
        <v>685.62</v>
      </c>
      <c r="AE71" s="24">
        <v>581.73400000000004</v>
      </c>
    </row>
    <row r="72" spans="1:35" customFormat="1" ht="15" customHeight="1" outlineLevel="3">
      <c r="A72" s="20" t="s">
        <v>118</v>
      </c>
      <c r="B72" s="18">
        <v>1436</v>
      </c>
      <c r="C72" s="18">
        <v>1145</v>
      </c>
      <c r="D72" s="18">
        <v>916.15599999999995</v>
      </c>
      <c r="E72" s="18">
        <v>823.64200000000005</v>
      </c>
      <c r="F72" s="18">
        <v>685.76300000000003</v>
      </c>
      <c r="G72" s="18">
        <v>592.43799999999999</v>
      </c>
      <c r="H72" s="18">
        <v>0</v>
      </c>
      <c r="I72" s="18">
        <v>0</v>
      </c>
      <c r="J72" s="18">
        <v>0</v>
      </c>
      <c r="K72" s="18">
        <v>0</v>
      </c>
      <c r="L72" s="18">
        <v>0</v>
      </c>
      <c r="M72" s="18">
        <v>0</v>
      </c>
      <c r="N72" s="18">
        <v>0</v>
      </c>
      <c r="O72" s="18">
        <v>0</v>
      </c>
      <c r="P72" s="18">
        <v>0</v>
      </c>
      <c r="Q72" s="18">
        <v>0</v>
      </c>
      <c r="R72" s="18">
        <v>0</v>
      </c>
      <c r="S72" s="18">
        <v>0</v>
      </c>
      <c r="T72" s="18">
        <v>0</v>
      </c>
      <c r="U72" s="18">
        <v>0</v>
      </c>
      <c r="V72" s="18">
        <v>0</v>
      </c>
      <c r="W72" s="18">
        <v>31.132999999999999</v>
      </c>
      <c r="X72" s="18">
        <v>33.527999999999999</v>
      </c>
      <c r="Y72" s="18">
        <v>4.6989999999999998</v>
      </c>
      <c r="Z72" s="18">
        <v>0</v>
      </c>
      <c r="AA72" s="18">
        <v>0</v>
      </c>
      <c r="AB72" s="18">
        <v>0</v>
      </c>
      <c r="AC72" s="18">
        <v>0</v>
      </c>
      <c r="AD72" s="18">
        <v>0</v>
      </c>
      <c r="AE72" s="18">
        <v>0</v>
      </c>
    </row>
    <row r="73" spans="1:35"/>
    <row r="74" spans="1:35"/>
    <row r="75" spans="1:35"/>
    <row r="76" spans="1:35">
      <c r="A76" s="105" t="s">
        <v>119</v>
      </c>
    </row>
    <row r="77" spans="1:35">
      <c r="A77" s="309" t="s">
        <v>120</v>
      </c>
      <c r="B77" s="310">
        <v>583</v>
      </c>
      <c r="C77" s="310">
        <v>588</v>
      </c>
      <c r="D77" s="310">
        <v>578</v>
      </c>
      <c r="E77" s="310">
        <v>500</v>
      </c>
      <c r="F77" s="310">
        <v>470</v>
      </c>
      <c r="G77" s="310">
        <v>505</v>
      </c>
      <c r="H77" s="310">
        <v>340</v>
      </c>
      <c r="I77" s="310">
        <v>274</v>
      </c>
      <c r="J77" s="310">
        <v>314</v>
      </c>
      <c r="K77" s="310">
        <v>291</v>
      </c>
      <c r="L77" s="310">
        <v>220</v>
      </c>
      <c r="M77" s="310">
        <v>130</v>
      </c>
      <c r="N77" s="310">
        <v>134</v>
      </c>
      <c r="O77" s="310">
        <v>132</v>
      </c>
      <c r="P77" s="310">
        <v>121</v>
      </c>
      <c r="Q77" s="310">
        <v>127</v>
      </c>
      <c r="R77" s="310">
        <v>136</v>
      </c>
      <c r="S77" s="310">
        <v>116</v>
      </c>
      <c r="T77" s="310">
        <v>112</v>
      </c>
      <c r="U77" s="310">
        <v>105</v>
      </c>
      <c r="V77" s="310">
        <v>109</v>
      </c>
      <c r="W77" s="310">
        <v>75</v>
      </c>
      <c r="X77" s="310">
        <v>70</v>
      </c>
      <c r="Y77" s="310">
        <v>72</v>
      </c>
      <c r="Z77" s="310">
        <v>63</v>
      </c>
      <c r="AA77" s="310">
        <v>72</v>
      </c>
      <c r="AB77" s="310">
        <v>71</v>
      </c>
      <c r="AC77" s="310">
        <v>73</v>
      </c>
      <c r="AD77" s="310">
        <v>58</v>
      </c>
      <c r="AE77" s="310">
        <v>47</v>
      </c>
      <c r="AF77" s="310">
        <v>41</v>
      </c>
    </row>
    <row r="78" spans="1:35"/>
    <row r="79" spans="1:35"/>
    <row r="80" spans="1:35"/>
    <row r="81" s="105" customFormat="1"/>
    <row r="82" s="105" customFormat="1"/>
    <row r="83" s="105" customFormat="1"/>
    <row r="84" s="105" customFormat="1"/>
    <row r="85" s="105" customFormat="1"/>
    <row r="86" s="105" customFormat="1"/>
    <row r="87" s="105" customFormat="1"/>
    <row r="88" s="105" customFormat="1"/>
    <row r="89" s="105" customFormat="1"/>
  </sheetData>
  <mergeCells count="3">
    <mergeCell ref="O18:Q18"/>
    <mergeCell ref="AI18:AK18"/>
    <mergeCell ref="U55:AC5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D1E16-E8BA-164A-AEAB-9BD2A573F0F3}">
  <dimension ref="A1:AE47"/>
  <sheetViews>
    <sheetView zoomScale="65" zoomScaleNormal="87" workbookViewId="0">
      <selection activeCell="G40" sqref="G40"/>
    </sheetView>
  </sheetViews>
  <sheetFormatPr baseColWidth="10" defaultColWidth="11" defaultRowHeight="16" outlineLevelRow="1"/>
  <cols>
    <col min="1" max="1" width="32.83203125" customWidth="1"/>
    <col min="2" max="2" width="12" bestFit="1" customWidth="1"/>
    <col min="11" max="11" width="11.83203125" customWidth="1"/>
  </cols>
  <sheetData>
    <row r="1" spans="1:31" ht="22">
      <c r="A1" s="73" t="s">
        <v>49</v>
      </c>
    </row>
    <row r="2" spans="1:31">
      <c r="B2" t="str">
        <f>'Income Statement'!C8</f>
        <v>JUN '25</v>
      </c>
      <c r="C2" t="str">
        <f>'Income Statement'!D8</f>
        <v>JUN '24</v>
      </c>
      <c r="D2" t="str">
        <f>'Income Statement'!E8</f>
        <v>JUN '23</v>
      </c>
      <c r="E2" t="str">
        <f>'Income Statement'!F8</f>
        <v>JUN '22</v>
      </c>
      <c r="F2" t="str">
        <f>'Income Statement'!G8</f>
        <v>JUN '21</v>
      </c>
      <c r="G2" t="str">
        <f>'Income Statement'!H8</f>
        <v>JUN '20</v>
      </c>
      <c r="H2" t="str">
        <f>'Income Statement'!I8</f>
        <v>JUN '19</v>
      </c>
      <c r="I2" t="str">
        <f>'Income Statement'!J8</f>
        <v>JUN '18</v>
      </c>
      <c r="J2" t="str">
        <f>'Income Statement'!K8</f>
        <v>JUN '17</v>
      </c>
      <c r="K2" t="str">
        <f>'Income Statement'!L8</f>
        <v>JUN '16</v>
      </c>
      <c r="L2" t="str">
        <f>'Income Statement'!M8</f>
        <v>JUN '15</v>
      </c>
      <c r="M2" t="str">
        <f>'Income Statement'!N8</f>
        <v>JUN '14</v>
      </c>
      <c r="N2" t="str">
        <f>'Income Statement'!O8</f>
        <v>JUN '13</v>
      </c>
      <c r="O2" t="str">
        <f>'Income Statement'!P8</f>
        <v>JUN '12</v>
      </c>
      <c r="P2" t="str">
        <f>'Income Statement'!Q8</f>
        <v>JUN '11</v>
      </c>
      <c r="Q2" t="str">
        <f>'Income Statement'!R8</f>
        <v>JUN '10</v>
      </c>
      <c r="R2" t="str">
        <f>'Income Statement'!S8</f>
        <v>JUN '09</v>
      </c>
      <c r="S2" t="str">
        <f>'Income Statement'!T8</f>
        <v>JUN '08</v>
      </c>
      <c r="T2" t="str">
        <f>'Income Statement'!U8</f>
        <v>JUN '07</v>
      </c>
      <c r="U2" t="str">
        <f>'Income Statement'!V8</f>
        <v>JUN '06</v>
      </c>
      <c r="V2" t="str">
        <f>'Income Statement'!W8</f>
        <v>JUN '05</v>
      </c>
      <c r="W2" t="str">
        <f>'Income Statement'!X8</f>
        <v>JUN '04</v>
      </c>
      <c r="X2" t="str">
        <f>'Income Statement'!Y8</f>
        <v>JUN '03</v>
      </c>
      <c r="Y2" t="str">
        <f>'Income Statement'!Z8</f>
        <v>JUN '02</v>
      </c>
      <c r="Z2" t="str">
        <f>'Income Statement'!AA8</f>
        <v>JUN '01</v>
      </c>
      <c r="AA2" t="str">
        <f>'Income Statement'!AB8</f>
        <v>JUN '00</v>
      </c>
      <c r="AB2" t="str">
        <f>'Income Statement'!AC8</f>
        <v>JUN '99</v>
      </c>
      <c r="AC2" t="str">
        <f>'Income Statement'!AD8</f>
        <v>JUN '98</v>
      </c>
      <c r="AD2" t="str">
        <f>'Income Statement'!AE8</f>
        <v>JUN '97</v>
      </c>
      <c r="AE2" t="str">
        <f>'Income Statement'!AF8</f>
        <v>JUN '96</v>
      </c>
    </row>
    <row r="3" spans="1:31">
      <c r="A3" t="s">
        <v>50</v>
      </c>
      <c r="B3" s="52">
        <f>'Income Statement'!C54</f>
        <v>2.0699999999999998</v>
      </c>
      <c r="C3" s="52">
        <f>'Income Statement'!D54</f>
        <v>2.0099999999999998</v>
      </c>
      <c r="D3" s="52">
        <f>'Income Statement'!E54</f>
        <v>1.97</v>
      </c>
      <c r="E3" s="52">
        <f>'Income Statement'!F54</f>
        <v>1.9</v>
      </c>
      <c r="F3" s="52">
        <f>'Income Statement'!G54</f>
        <v>1.82</v>
      </c>
      <c r="G3" s="52">
        <f>'Income Statement'!H54</f>
        <v>1.74</v>
      </c>
      <c r="H3" s="52">
        <f>'Income Statement'!I54</f>
        <v>1.53</v>
      </c>
      <c r="I3" s="52">
        <f>'Income Statement'!J54</f>
        <v>1.41</v>
      </c>
      <c r="J3" s="52">
        <f>'Income Statement'!K54</f>
        <v>1.3</v>
      </c>
      <c r="K3" s="52">
        <f>'Income Statement'!L54</f>
        <v>1.23</v>
      </c>
      <c r="L3" s="52">
        <f>'Income Statement'!M54</f>
        <v>1.19</v>
      </c>
      <c r="M3" s="52">
        <f>'Income Statement'!N54</f>
        <v>1.1499999999999999</v>
      </c>
      <c r="N3" s="52">
        <f>'Income Statement'!O54</f>
        <v>1.1100000000000001</v>
      </c>
      <c r="O3" s="52">
        <f>'Income Statement'!P54</f>
        <v>1.07</v>
      </c>
      <c r="P3" s="52">
        <f>'Income Statement'!Q54</f>
        <v>1.03</v>
      </c>
      <c r="Q3" s="52">
        <f>'Income Statement'!R54</f>
        <v>0.99</v>
      </c>
      <c r="R3" s="52">
        <f>'Income Statement'!S54</f>
        <v>0.94</v>
      </c>
      <c r="S3" s="52">
        <f>'Income Statement'!T54</f>
        <v>0.85</v>
      </c>
      <c r="T3" s="52">
        <f>'Income Statement'!U54</f>
        <v>0.74</v>
      </c>
      <c r="U3" s="52">
        <f>'Income Statement'!V54</f>
        <v>0.66</v>
      </c>
      <c r="V3" s="52">
        <f>'Income Statement'!W54</f>
        <v>0.57999999999999996</v>
      </c>
      <c r="W3" s="52">
        <f>'Income Statement'!X54</f>
        <v>0.5</v>
      </c>
      <c r="X3" s="52">
        <f>'Income Statement'!Y54</f>
        <v>0.42</v>
      </c>
      <c r="Y3" s="52">
        <f>'Income Statement'!Z54</f>
        <v>0.34</v>
      </c>
      <c r="Z3" s="52">
        <f>'Income Statement'!AA54</f>
        <v>0.27</v>
      </c>
      <c r="AA3" s="52">
        <f>'Income Statement'!AB54</f>
        <v>0.23</v>
      </c>
      <c r="AB3" s="52">
        <f>'Income Statement'!AC54</f>
        <v>0.19500000000000001</v>
      </c>
      <c r="AC3" s="52">
        <f>'Income Statement'!AD54</f>
        <v>0.17</v>
      </c>
      <c r="AD3" s="52">
        <f>'Income Statement'!AE54</f>
        <v>0.14499999999999999</v>
      </c>
      <c r="AE3" s="52">
        <f>'Income Statement'!AF54</f>
        <v>0.125</v>
      </c>
    </row>
    <row r="4" spans="1:31">
      <c r="A4" t="s">
        <v>51</v>
      </c>
      <c r="B4" s="59">
        <f>'Income Statement'!C55/100</f>
        <v>0.55467723999999996</v>
      </c>
      <c r="C4" s="59">
        <f>'Income Statement'!D55/100</f>
        <v>0.51725469000000002</v>
      </c>
      <c r="D4" s="59">
        <f>'Income Statement'!E55/100</f>
        <v>0.56728193999999998</v>
      </c>
      <c r="E4" s="59">
        <f>'Income Statement'!F55/100</f>
        <v>0.71874408999999995</v>
      </c>
      <c r="F4" s="59">
        <f>'Income Statement'!G55/100</f>
        <v>1.7829153600000001</v>
      </c>
      <c r="G4" s="59">
        <f>'Income Statement'!H55/100</f>
        <v>4.1428571400000003</v>
      </c>
      <c r="H4" s="59">
        <f>'Income Statement'!I55/100</f>
        <v>0.47812500000000002</v>
      </c>
      <c r="I4" s="59">
        <f>'Income Statement'!J55/100</f>
        <v>0.52222222000000007</v>
      </c>
      <c r="J4" s="59">
        <f>'Income Statement'!K55/100</f>
        <v>0.625</v>
      </c>
      <c r="K4" s="59">
        <f>'Income Statement'!L55/100</f>
        <v>0.75</v>
      </c>
      <c r="L4" s="59">
        <f>'Income Statement'!M55/100</f>
        <v>1.0347826099999999</v>
      </c>
      <c r="M4" s="59">
        <f>'Income Statement'!N55/100</f>
        <v>0.72784809999999989</v>
      </c>
      <c r="N4" s="59">
        <f>'Income Statement'!O55/100</f>
        <v>0.66467066000000008</v>
      </c>
      <c r="O4" s="59">
        <f>'Income Statement'!P55/100</f>
        <v>0.56315789000000005</v>
      </c>
      <c r="P4" s="59">
        <f>'Income Statement'!Q55/100</f>
        <v>0.52551020000000004</v>
      </c>
      <c r="Q4" s="59">
        <f>'Income Statement'!R55/100</f>
        <v>0.49748744</v>
      </c>
      <c r="R4" s="59">
        <f>'Income Statement'!S55/100</f>
        <v>0.53107345000000006</v>
      </c>
      <c r="S4" s="59">
        <f>'Income Statement'!T55/100</f>
        <v>0.46961325999999998</v>
      </c>
      <c r="T4" s="59">
        <f>'Income Statement'!U55/100</f>
        <v>0.46250000000000002</v>
      </c>
      <c r="U4" s="59">
        <f>'Income Statement'!V55/100</f>
        <v>0.48888888999999996</v>
      </c>
      <c r="V4" s="59">
        <f>'Income Statement'!W55/100</f>
        <v>0.39455782</v>
      </c>
      <c r="W4" s="59">
        <f>'Income Statement'!X55/100</f>
        <v>0.3649635</v>
      </c>
      <c r="X4" s="59">
        <f>'Income Statement'!Y55/100</f>
        <v>0.35593220000000003</v>
      </c>
      <c r="Y4" s="59">
        <f>'Income Statement'!Z55/100</f>
        <v>0.33663366000000006</v>
      </c>
      <c r="Z4" s="59">
        <f>'Income Statement'!AA55/100</f>
        <v>0.30681818</v>
      </c>
      <c r="AA4" s="59">
        <f>'Income Statement'!AB55/100</f>
        <v>0.33823529000000002</v>
      </c>
      <c r="AB4" s="59">
        <f>'Income Statement'!AC55/100</f>
        <v>0.36111111000000001</v>
      </c>
      <c r="AC4" s="59">
        <f>'Income Statement'!AD55/100</f>
        <v>0.35789473999999999</v>
      </c>
      <c r="AD4" s="59">
        <f>'Income Statement'!AE55/100</f>
        <v>0.33918129000000002</v>
      </c>
      <c r="AE4" s="59">
        <f>'Income Statement'!AF55/100</f>
        <v>0.32894737000000002</v>
      </c>
    </row>
    <row r="5" spans="1:31" ht="15" customHeight="1" outlineLevel="1">
      <c r="A5" t="s">
        <v>52</v>
      </c>
      <c r="B5" s="400">
        <v>99.078591000000003</v>
      </c>
      <c r="C5" s="31">
        <v>101.06958</v>
      </c>
      <c r="D5" s="31">
        <v>104.404931</v>
      </c>
      <c r="E5" s="31">
        <v>92.585742999999994</v>
      </c>
      <c r="F5" s="31">
        <v>38.665481</v>
      </c>
      <c r="G5" s="31">
        <v>11.770678999999999</v>
      </c>
      <c r="H5" s="31">
        <v>66.843035999999998</v>
      </c>
      <c r="I5" s="31">
        <v>58.536315999999999</v>
      </c>
      <c r="J5" s="31">
        <v>38.985799</v>
      </c>
      <c r="K5" s="31">
        <v>21.730898</v>
      </c>
      <c r="L5" s="31">
        <v>13.047939</v>
      </c>
      <c r="M5" s="31">
        <v>17.813884000000002</v>
      </c>
      <c r="N5" s="31">
        <v>20.096022999999999</v>
      </c>
      <c r="O5" s="31">
        <v>23.888207000000001</v>
      </c>
      <c r="P5" s="31">
        <v>27.002492</v>
      </c>
      <c r="Q5" s="31">
        <v>32.429464000000003</v>
      </c>
      <c r="R5" s="31">
        <v>30.791544999999999</v>
      </c>
      <c r="S5" s="31">
        <v>33.081715000000003</v>
      </c>
      <c r="T5" s="31">
        <v>31.626156000000002</v>
      </c>
      <c r="U5" s="31">
        <v>29.117951999999999</v>
      </c>
      <c r="V5" s="31">
        <v>36.122287999999998</v>
      </c>
      <c r="W5" s="31">
        <v>38.101930000000003</v>
      </c>
      <c r="X5" s="31">
        <v>35.934919999999998</v>
      </c>
      <c r="Y5" s="31">
        <v>31.775410999999998</v>
      </c>
      <c r="Z5" s="31">
        <v>30.544208999999999</v>
      </c>
      <c r="AA5" s="31">
        <v>28.451713999999999</v>
      </c>
      <c r="AB5" s="31">
        <v>26.025355999999999</v>
      </c>
      <c r="AC5" s="31">
        <v>23.561135</v>
      </c>
      <c r="AD5" s="31">
        <v>21.044675999999999</v>
      </c>
      <c r="AE5" s="31">
        <v>19.240998000000001</v>
      </c>
    </row>
    <row r="6" spans="1:31">
      <c r="A6" t="s">
        <v>53</v>
      </c>
      <c r="B6" s="58">
        <f>(B3/C3)-1</f>
        <v>2.9850746268656803E-2</v>
      </c>
      <c r="C6" s="58">
        <f t="shared" ref="C6:AD6" si="0">(C3/D3)-1</f>
        <v>2.0304568527918621E-2</v>
      </c>
      <c r="D6" s="58">
        <f t="shared" si="0"/>
        <v>3.6842105263158009E-2</v>
      </c>
      <c r="E6" s="58">
        <f t="shared" si="0"/>
        <v>4.39560439560438E-2</v>
      </c>
      <c r="F6" s="58">
        <f t="shared" si="0"/>
        <v>4.5977011494252817E-2</v>
      </c>
      <c r="G6" s="58">
        <f>(G3/H3)-1</f>
        <v>0.13725490196078427</v>
      </c>
      <c r="H6" s="58">
        <f t="shared" si="0"/>
        <v>8.5106382978723527E-2</v>
      </c>
      <c r="I6" s="58">
        <f t="shared" si="0"/>
        <v>8.4615384615384537E-2</v>
      </c>
      <c r="J6" s="58">
        <f t="shared" si="0"/>
        <v>5.6910569105691033E-2</v>
      </c>
      <c r="K6" s="58">
        <f t="shared" si="0"/>
        <v>3.3613445378151363E-2</v>
      </c>
      <c r="L6" s="58">
        <f t="shared" si="0"/>
        <v>3.4782608695652195E-2</v>
      </c>
      <c r="M6" s="58">
        <f t="shared" si="0"/>
        <v>3.603603603603589E-2</v>
      </c>
      <c r="N6" s="58">
        <f t="shared" si="0"/>
        <v>3.7383177570093462E-2</v>
      </c>
      <c r="O6" s="58">
        <f t="shared" si="0"/>
        <v>3.8834951456310662E-2</v>
      </c>
      <c r="P6" s="58">
        <f t="shared" si="0"/>
        <v>4.0404040404040442E-2</v>
      </c>
      <c r="Q6" s="58">
        <f t="shared" si="0"/>
        <v>5.319148936170226E-2</v>
      </c>
      <c r="R6" s="58">
        <f t="shared" si="0"/>
        <v>0.10588235294117654</v>
      </c>
      <c r="S6" s="58">
        <f t="shared" si="0"/>
        <v>0.14864864864864868</v>
      </c>
      <c r="T6" s="58">
        <f t="shared" si="0"/>
        <v>0.1212121212121211</v>
      </c>
      <c r="U6" s="58">
        <f t="shared" si="0"/>
        <v>0.13793103448275867</v>
      </c>
      <c r="V6" s="58">
        <f t="shared" si="0"/>
        <v>0.15999999999999992</v>
      </c>
      <c r="W6" s="58">
        <f t="shared" si="0"/>
        <v>0.19047619047619047</v>
      </c>
      <c r="X6" s="58">
        <f t="shared" si="0"/>
        <v>0.23529411764705865</v>
      </c>
      <c r="Y6" s="58">
        <f t="shared" si="0"/>
        <v>0.2592592592592593</v>
      </c>
      <c r="Z6" s="58">
        <f t="shared" si="0"/>
        <v>0.17391304347826098</v>
      </c>
      <c r="AA6" s="58">
        <f t="shared" si="0"/>
        <v>0.17948717948717952</v>
      </c>
      <c r="AB6" s="58">
        <f t="shared" si="0"/>
        <v>0.14705882352941169</v>
      </c>
      <c r="AC6" s="58">
        <f t="shared" si="0"/>
        <v>0.1724137931034484</v>
      </c>
      <c r="AD6" s="58">
        <f t="shared" si="0"/>
        <v>0.15999999999999992</v>
      </c>
      <c r="AE6" s="58"/>
    </row>
    <row r="7" spans="1:31">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row>
    <row r="8" spans="1:31">
      <c r="A8" t="s">
        <v>37</v>
      </c>
      <c r="B8" s="399">
        <f t="shared" ref="B8:AE8" si="1">B5/100</f>
        <v>0.99078591000000005</v>
      </c>
      <c r="C8" s="399">
        <f t="shared" si="1"/>
        <v>1.0106957999999999</v>
      </c>
      <c r="D8" s="399">
        <f t="shared" si="1"/>
        <v>1.0440493100000001</v>
      </c>
      <c r="E8" s="399">
        <f t="shared" si="1"/>
        <v>0.92585742999999998</v>
      </c>
      <c r="F8" s="399">
        <f t="shared" si="1"/>
        <v>0.38665481000000002</v>
      </c>
      <c r="G8" s="399">
        <f t="shared" si="1"/>
        <v>0.11770678999999999</v>
      </c>
      <c r="H8" s="399">
        <f t="shared" si="1"/>
        <v>0.66843036</v>
      </c>
      <c r="I8" s="399">
        <f t="shared" si="1"/>
        <v>0.58536315999999999</v>
      </c>
      <c r="J8" s="399">
        <f t="shared" si="1"/>
        <v>0.38985798999999999</v>
      </c>
      <c r="K8" s="399">
        <f t="shared" si="1"/>
        <v>0.21730897999999998</v>
      </c>
      <c r="L8" s="399">
        <f t="shared" si="1"/>
        <v>0.13047939</v>
      </c>
      <c r="M8" s="399">
        <f t="shared" si="1"/>
        <v>0.17813884000000002</v>
      </c>
      <c r="N8" s="399">
        <f t="shared" si="1"/>
        <v>0.20096022999999999</v>
      </c>
      <c r="O8" s="399">
        <f t="shared" si="1"/>
        <v>0.23888207</v>
      </c>
      <c r="P8" s="399">
        <f t="shared" si="1"/>
        <v>0.27002492</v>
      </c>
      <c r="Q8" s="399">
        <f t="shared" si="1"/>
        <v>0.32429464000000002</v>
      </c>
      <c r="R8" s="399">
        <f t="shared" si="1"/>
        <v>0.30791544999999998</v>
      </c>
      <c r="S8" s="399">
        <f t="shared" si="1"/>
        <v>0.33081715</v>
      </c>
      <c r="T8" s="399">
        <f t="shared" si="1"/>
        <v>0.31626156</v>
      </c>
      <c r="U8" s="399">
        <f t="shared" si="1"/>
        <v>0.29117951999999997</v>
      </c>
      <c r="V8" s="399">
        <f t="shared" si="1"/>
        <v>0.36122287999999997</v>
      </c>
      <c r="W8" s="399">
        <f t="shared" si="1"/>
        <v>0.38101930000000001</v>
      </c>
      <c r="X8" s="399">
        <f t="shared" si="1"/>
        <v>0.35934919999999998</v>
      </c>
      <c r="Y8" s="399">
        <f t="shared" si="1"/>
        <v>0.31775410999999998</v>
      </c>
      <c r="Z8" s="399">
        <f t="shared" si="1"/>
        <v>0.30544209</v>
      </c>
      <c r="AA8" s="399">
        <f t="shared" si="1"/>
        <v>0.28451714</v>
      </c>
      <c r="AB8" s="399">
        <f t="shared" si="1"/>
        <v>0.26025355999999999</v>
      </c>
      <c r="AC8" s="399">
        <f t="shared" si="1"/>
        <v>0.23561135</v>
      </c>
      <c r="AD8" s="399">
        <f t="shared" si="1"/>
        <v>0.21044675999999998</v>
      </c>
      <c r="AE8" s="399">
        <f t="shared" si="1"/>
        <v>0.19240998000000001</v>
      </c>
    </row>
    <row r="10" spans="1:31">
      <c r="A10" s="74" t="s">
        <v>54</v>
      </c>
    </row>
    <row r="11" spans="1:31">
      <c r="B11" t="s">
        <v>55</v>
      </c>
      <c r="C11" t="s">
        <v>56</v>
      </c>
      <c r="D11" t="s">
        <v>36</v>
      </c>
      <c r="E11" t="s">
        <v>57</v>
      </c>
      <c r="G11" t="s">
        <v>58</v>
      </c>
    </row>
    <row r="12" spans="1:31">
      <c r="A12" t="str">
        <f>A4</f>
        <v xml:space="preserve">Div Payout ratio </v>
      </c>
      <c r="B12" s="44">
        <f>AVERAGE(B4:AE4)</f>
        <v>0.67029617799999985</v>
      </c>
      <c r="C12" s="44">
        <f>MEDIAN(B4:AE4)</f>
        <v>0.50737106500000007</v>
      </c>
      <c r="D12" s="44">
        <f>MIN(B4:AE4)</f>
        <v>0.30681818</v>
      </c>
      <c r="E12" s="44">
        <f>MAX(B4:AE4)</f>
        <v>4.1428571400000003</v>
      </c>
    </row>
    <row r="13" spans="1:31">
      <c r="A13" t="str">
        <f>A5</f>
        <v>Return on Equity (in %)</v>
      </c>
      <c r="B13" s="44">
        <f>AVERAGE(B8:AE8)</f>
        <v>0.39445635600000001</v>
      </c>
      <c r="C13" s="60">
        <f>MEDIAN(B8:AE8)</f>
        <v>0.31208850499999996</v>
      </c>
      <c r="D13" s="60">
        <f>MIN(B8:AE8)</f>
        <v>0.11770678999999999</v>
      </c>
      <c r="E13" s="60">
        <f>MAX(B8:AE8)</f>
        <v>1.0440493100000001</v>
      </c>
    </row>
    <row r="14" spans="1:31">
      <c r="A14" t="str">
        <f>A6</f>
        <v>Div growth rate</v>
      </c>
      <c r="B14" s="44">
        <f>AVERAGE(B6:AE6)</f>
        <v>0.1036772423220039</v>
      </c>
      <c r="C14" s="60">
        <f>MEDIAN(B6:AE6)</f>
        <v>8.5106382978723527E-2</v>
      </c>
      <c r="D14" s="60">
        <f>MIN(B6:AE6)</f>
        <v>2.0304568527918621E-2</v>
      </c>
      <c r="E14" s="60">
        <f>MAX(B6:AE6)</f>
        <v>0.2592592592592593</v>
      </c>
    </row>
    <row r="15" spans="1:31">
      <c r="B15" s="44"/>
      <c r="C15" s="60"/>
      <c r="D15" s="60"/>
      <c r="E15" s="60"/>
    </row>
    <row r="16" spans="1:31">
      <c r="A16" s="74" t="s">
        <v>59</v>
      </c>
      <c r="B16" s="74"/>
      <c r="C16" s="74"/>
      <c r="D16" s="74"/>
      <c r="E16" s="74"/>
    </row>
    <row r="17" spans="1:13">
      <c r="B17" t="s">
        <v>55</v>
      </c>
      <c r="C17" t="s">
        <v>56</v>
      </c>
      <c r="D17" t="s">
        <v>36</v>
      </c>
      <c r="E17" t="s">
        <v>57</v>
      </c>
      <c r="F17" s="58"/>
    </row>
    <row r="18" spans="1:13">
      <c r="A18" t="str">
        <f>A12</f>
        <v xml:space="preserve">Div Payout ratio </v>
      </c>
      <c r="B18" s="44">
        <f>AVERAGE(B4,C4,D4,E4,H4,I4,J4,K4,M4,N4)</f>
        <v>0.61258239400000003</v>
      </c>
      <c r="C18" s="44">
        <f>MEDIAN(B4,C4,D4,E4,H4,I4,J4,K4,M4,N4)</f>
        <v>0.59614096999999999</v>
      </c>
      <c r="D18" s="44">
        <f>MIN(B4,C4,D4,E4,H4,I4,J4,K4,M4,N4)</f>
        <v>0.47812500000000002</v>
      </c>
      <c r="E18" s="44">
        <f>MAX(B4,C4,D4,E4,H4,I4,J4,K4,M4,N4)</f>
        <v>0.75</v>
      </c>
    </row>
    <row r="19" spans="1:13" ht="16" customHeight="1">
      <c r="A19" t="str">
        <f t="shared" ref="A19:A20" si="2">A13</f>
        <v>Return on Equity (in %)</v>
      </c>
      <c r="B19" s="44">
        <f>AVERAGE(B8,C8,D8,E8,F8,H8,I8,J8,K8,L8,M8,N8)</f>
        <v>0.56071518416666677</v>
      </c>
      <c r="C19" s="60">
        <f>MEDIAN(B8,C8,D8,E8,F8,H8,I8,J8,K8,L8,M8,N8)</f>
        <v>0.48761057499999999</v>
      </c>
      <c r="D19" s="60">
        <f>MEDIAN(C8,D8,E8,F8,G8,I8,J8,K8,L8,M8,N8,O8)</f>
        <v>0.31276844000000004</v>
      </c>
      <c r="E19" s="60">
        <f>MEDIAN(D8,E8,F8,G8,H8,J8,K8,L8,M8,N8,O8,P8)</f>
        <v>0.25445349500000003</v>
      </c>
      <c r="G19" s="40"/>
      <c r="H19" s="40"/>
      <c r="I19" s="40"/>
      <c r="J19" s="40"/>
      <c r="K19" s="40"/>
      <c r="L19" s="40"/>
      <c r="M19" s="40"/>
    </row>
    <row r="20" spans="1:13" ht="16" customHeight="1">
      <c r="A20" t="str">
        <f t="shared" si="2"/>
        <v>Div growth rate</v>
      </c>
      <c r="B20" s="44">
        <f>AVERAGE(B6,C6,D6,E6,F6,H6,I6,J6,K6,L6,M6,N6)</f>
        <v>4.5448173324146836E-2</v>
      </c>
      <c r="C20" s="447">
        <f>MEDIAN(B6,C6,D6,E6,F6,H6,I6,J6,K6,L6,M6,N6)</f>
        <v>3.7112641416625736E-2</v>
      </c>
      <c r="D20" s="60">
        <f>MIN(B6,C6,D6,E6,F6,H6,I6,J6,K6,L6,M6,N6)</f>
        <v>2.0304568527918621E-2</v>
      </c>
      <c r="E20" s="60">
        <f>MAX(B6,C6,D6,E6,F6,H6,I6,J6,K6,L6,M6,N6)</f>
        <v>8.5106382978723527E-2</v>
      </c>
      <c r="G20" s="40"/>
      <c r="H20" s="40"/>
      <c r="I20" s="42"/>
      <c r="J20" s="42"/>
      <c r="K20" s="42"/>
      <c r="L20" s="42"/>
      <c r="M20" s="42"/>
    </row>
    <row r="21" spans="1:13">
      <c r="B21" s="44"/>
      <c r="C21" s="60"/>
      <c r="D21" s="60"/>
      <c r="E21" s="60"/>
      <c r="G21" s="40"/>
      <c r="H21" s="40"/>
      <c r="I21" s="42"/>
      <c r="J21" s="66"/>
      <c r="K21" s="42"/>
      <c r="L21" s="42"/>
      <c r="M21" s="67"/>
    </row>
    <row r="22" spans="1:13">
      <c r="A22" t="s">
        <v>60</v>
      </c>
      <c r="B22" s="65">
        <v>2.16</v>
      </c>
      <c r="C22" s="60" t="s">
        <v>61</v>
      </c>
      <c r="D22" s="60"/>
      <c r="E22" s="60"/>
      <c r="G22" s="40"/>
      <c r="H22" s="40"/>
      <c r="I22" s="42"/>
      <c r="J22" s="42"/>
      <c r="K22" s="42"/>
      <c r="L22" s="42"/>
      <c r="M22" s="42"/>
    </row>
    <row r="23" spans="1:13">
      <c r="G23" s="40"/>
      <c r="H23" s="40"/>
      <c r="I23" s="68"/>
      <c r="J23" s="42"/>
      <c r="K23" s="68"/>
      <c r="L23" s="42"/>
      <c r="M23" s="42"/>
    </row>
    <row r="24" spans="1:13">
      <c r="A24" s="658" t="s">
        <v>38</v>
      </c>
      <c r="B24" s="659"/>
      <c r="C24" s="64"/>
      <c r="G24" s="40"/>
      <c r="H24" s="40"/>
      <c r="I24" s="40"/>
      <c r="J24" s="40"/>
      <c r="K24" s="40"/>
      <c r="L24" s="40"/>
      <c r="M24" s="40"/>
    </row>
    <row r="25" spans="1:13" ht="17">
      <c r="A25" s="61" t="s">
        <v>62</v>
      </c>
      <c r="B25" s="63">
        <f>_xlfn.RRI(29,AE3,B3)</f>
        <v>0.10163205187611446</v>
      </c>
      <c r="C25" s="62"/>
    </row>
    <row r="26" spans="1:13">
      <c r="A26" s="41" t="s">
        <v>39</v>
      </c>
      <c r="B26" s="438">
        <f>B27*(1-B28)</f>
        <v>0.13005376818539269</v>
      </c>
    </row>
    <row r="27" spans="1:13">
      <c r="A27" s="41" t="s">
        <v>37</v>
      </c>
      <c r="B27" s="439">
        <f>B13</f>
        <v>0.39445635600000001</v>
      </c>
    </row>
    <row r="28" spans="1:13">
      <c r="A28" s="41" t="str">
        <f>A12</f>
        <v xml:space="preserve">Div Payout ratio </v>
      </c>
      <c r="B28" s="439">
        <f>B12</f>
        <v>0.67029617799999985</v>
      </c>
    </row>
    <row r="29" spans="1:13">
      <c r="A29" t="s">
        <v>63</v>
      </c>
      <c r="B29" s="69">
        <v>6.4000000000000001E-2</v>
      </c>
    </row>
    <row r="31" spans="1:13">
      <c r="A31" s="412" t="s">
        <v>44</v>
      </c>
      <c r="B31" s="415">
        <f>B33+(B32*B34)</f>
        <v>7.7465689655172421E-2</v>
      </c>
      <c r="C31" s="43"/>
      <c r="D31" s="43"/>
      <c r="E31" s="45"/>
    </row>
    <row r="32" spans="1:13">
      <c r="A32" s="413" t="s">
        <v>45</v>
      </c>
      <c r="B32" s="626">
        <f>WACC!AH54</f>
        <v>0.7301724137931036</v>
      </c>
      <c r="C32" s="43" t="s">
        <v>644</v>
      </c>
      <c r="D32" s="43"/>
      <c r="E32" s="43"/>
    </row>
    <row r="33" spans="1:17">
      <c r="A33" s="413" t="s">
        <v>46</v>
      </c>
      <c r="B33" s="416">
        <v>4.4900000000000002E-2</v>
      </c>
      <c r="C33" s="43" t="s">
        <v>47</v>
      </c>
      <c r="D33" s="40"/>
      <c r="E33" s="43"/>
    </row>
    <row r="34" spans="1:17" ht="17" thickBot="1">
      <c r="A34" s="414" t="s">
        <v>48</v>
      </c>
      <c r="B34" s="417">
        <v>4.4600000000000001E-2</v>
      </c>
      <c r="C34" s="411" t="s">
        <v>64</v>
      </c>
      <c r="D34" s="411"/>
      <c r="E34" s="411"/>
      <c r="F34" s="411"/>
      <c r="G34" s="411"/>
      <c r="H34" s="411"/>
      <c r="I34" s="411"/>
      <c r="J34" s="411"/>
      <c r="K34" s="411"/>
      <c r="L34" s="411"/>
    </row>
    <row r="35" spans="1:17">
      <c r="A35" s="40"/>
      <c r="B35" s="448"/>
      <c r="C35" s="411"/>
      <c r="D35" s="411"/>
      <c r="E35" s="411"/>
      <c r="F35" s="411"/>
      <c r="G35" s="411"/>
      <c r="H35" s="411"/>
      <c r="I35" s="411"/>
      <c r="J35" s="411"/>
      <c r="K35" s="411"/>
      <c r="L35" s="411"/>
      <c r="M35" s="510" t="s">
        <v>66</v>
      </c>
      <c r="N35" s="510"/>
      <c r="O35" s="510"/>
      <c r="P35" s="510"/>
      <c r="Q35" s="510"/>
    </row>
    <row r="36" spans="1:17">
      <c r="A36" s="40" t="s">
        <v>632</v>
      </c>
      <c r="B36" s="450">
        <v>7.6499999999999999E-2</v>
      </c>
      <c r="C36" s="451" t="s">
        <v>633</v>
      </c>
      <c r="D36" s="451"/>
      <c r="E36" s="451"/>
      <c r="F36" s="451"/>
      <c r="G36" s="411"/>
      <c r="H36" s="411"/>
      <c r="I36" s="411"/>
      <c r="J36" s="411"/>
      <c r="K36" s="411"/>
      <c r="L36" s="411"/>
    </row>
    <row r="37" spans="1:17">
      <c r="A37" s="40"/>
    </row>
    <row r="38" spans="1:17">
      <c r="A38" s="40" t="s">
        <v>65</v>
      </c>
      <c r="B38" s="70">
        <v>4.3999999999999997E-2</v>
      </c>
      <c r="C38" s="43" t="s">
        <v>631</v>
      </c>
    </row>
    <row r="39" spans="1:17">
      <c r="A39" s="40"/>
    </row>
    <row r="40" spans="1:17">
      <c r="A40" s="40" t="s">
        <v>42</v>
      </c>
      <c r="B40" s="70">
        <v>0.03</v>
      </c>
      <c r="C40" s="70">
        <f>B40</f>
        <v>0.03</v>
      </c>
      <c r="D40" s="70">
        <v>0.04</v>
      </c>
      <c r="E40" s="70">
        <v>0.05</v>
      </c>
      <c r="F40" s="70">
        <v>0.05</v>
      </c>
      <c r="G40" s="70">
        <v>0.06</v>
      </c>
      <c r="H40" s="70" t="s">
        <v>638</v>
      </c>
    </row>
    <row r="41" spans="1:17" ht="17" thickBot="1">
      <c r="A41" s="40" t="s">
        <v>67</v>
      </c>
      <c r="B41">
        <v>1</v>
      </c>
      <c r="C41">
        <v>2</v>
      </c>
      <c r="D41">
        <v>3</v>
      </c>
      <c r="E41">
        <v>4</v>
      </c>
      <c r="F41">
        <v>5</v>
      </c>
      <c r="G41">
        <v>6</v>
      </c>
    </row>
    <row r="42" spans="1:17">
      <c r="B42" s="496" t="s">
        <v>40</v>
      </c>
      <c r="C42" s="497" t="s">
        <v>68</v>
      </c>
      <c r="D42" s="497" t="s">
        <v>69</v>
      </c>
      <c r="E42" s="497" t="s">
        <v>70</v>
      </c>
      <c r="F42" s="498" t="s">
        <v>71</v>
      </c>
      <c r="G42" s="499" t="s">
        <v>634</v>
      </c>
      <c r="H42" s="452"/>
    </row>
    <row r="43" spans="1:17" ht="17" thickBot="1">
      <c r="A43" t="s">
        <v>72</v>
      </c>
      <c r="B43" s="500">
        <f>B22*(1+B40)</f>
        <v>2.2248000000000001</v>
      </c>
      <c r="C43" s="72">
        <f>B43*(1+C40)</f>
        <v>2.291544</v>
      </c>
      <c r="D43" s="72">
        <f>C43*(1+D40)</f>
        <v>2.3832057600000001</v>
      </c>
      <c r="E43" s="72">
        <f t="shared" ref="E43" si="3">D43*(1+E40)</f>
        <v>2.5023660480000003</v>
      </c>
      <c r="F43" s="440">
        <f>E43*(1+F40)</f>
        <v>2.6274843504000005</v>
      </c>
      <c r="G43" s="501">
        <f>F43*(1+G40)</f>
        <v>2.7851334114240007</v>
      </c>
      <c r="H43" s="453"/>
    </row>
    <row r="44" spans="1:17">
      <c r="A44" t="s">
        <v>73</v>
      </c>
      <c r="B44" s="502"/>
      <c r="C44" s="71"/>
      <c r="D44" s="71"/>
      <c r="E44" s="71"/>
      <c r="F44" s="441"/>
      <c r="G44" s="503">
        <f>G43*(1+B38)/(B36-B38)</f>
        <v>89.467054816204822</v>
      </c>
      <c r="H44" s="418"/>
      <c r="I44" s="443" t="s">
        <v>74</v>
      </c>
      <c r="J44" s="442"/>
      <c r="K44" s="444" t="s">
        <v>75</v>
      </c>
    </row>
    <row r="45" spans="1:17" ht="17" thickBot="1">
      <c r="A45" t="s">
        <v>76</v>
      </c>
      <c r="B45" s="504">
        <f>SUM(B43:B44)</f>
        <v>2.2248000000000001</v>
      </c>
      <c r="C45" s="505">
        <f t="shared" ref="C45:E45" si="4">SUM(C43:C44)</f>
        <v>2.291544</v>
      </c>
      <c r="D45" s="505">
        <f t="shared" si="4"/>
        <v>2.3832057600000001</v>
      </c>
      <c r="E45" s="505">
        <f t="shared" si="4"/>
        <v>2.5023660480000003</v>
      </c>
      <c r="F45" s="505">
        <f>SUM(F43:F44)</f>
        <v>2.6274843504000005</v>
      </c>
      <c r="G45" s="506">
        <f>SUM(G43:G44)</f>
        <v>92.252188227628821</v>
      </c>
      <c r="H45" s="418"/>
      <c r="I45" s="449">
        <f>NPV(B36,B45:G45)</f>
        <v>68.913188037781921</v>
      </c>
      <c r="J45" s="445" t="s">
        <v>77</v>
      </c>
      <c r="K45" s="446">
        <v>73.239999999999995</v>
      </c>
      <c r="L45" s="507"/>
    </row>
    <row r="47" spans="1:17">
      <c r="B47" s="418"/>
      <c r="C47" s="418"/>
      <c r="D47" s="418"/>
      <c r="E47" s="418"/>
      <c r="F47" s="418"/>
      <c r="G47" s="418"/>
    </row>
  </sheetData>
  <mergeCells count="1">
    <mergeCell ref="A24:B24"/>
  </mergeCells>
  <phoneticPr fontId="18" type="noConversion"/>
  <pageMargins left="0.7" right="0.7" top="0.75" bottom="0.75" header="0.3" footer="0.3"/>
  <pageSetup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0C83-35C4-1E44-B59D-3DBC6B7C0A80}">
  <dimension ref="A1:AG138"/>
  <sheetViews>
    <sheetView zoomScale="50" workbookViewId="0">
      <selection activeCell="Q11" sqref="Q11"/>
    </sheetView>
  </sheetViews>
  <sheetFormatPr baseColWidth="10" defaultColWidth="11" defaultRowHeight="16"/>
  <cols>
    <col min="1" max="1" width="56.6640625" bestFit="1" customWidth="1"/>
    <col min="9" max="9" width="25" bestFit="1" customWidth="1"/>
    <col min="16" max="16" width="28.5" bestFit="1" customWidth="1"/>
    <col min="17" max="20" width="11.1640625" bestFit="1" customWidth="1"/>
    <col min="21" max="21" width="5.6640625" bestFit="1" customWidth="1"/>
  </cols>
  <sheetData>
    <row r="1" spans="1:31">
      <c r="A1" s="37" t="s">
        <v>236</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row>
    <row r="2" spans="1:31">
      <c r="A2" s="90">
        <v>71.16</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row>
    <row r="3" spans="1:31">
      <c r="A3" s="38" t="s">
        <v>390</v>
      </c>
      <c r="B3" s="39" t="s">
        <v>390</v>
      </c>
      <c r="C3" s="39" t="s">
        <v>390</v>
      </c>
      <c r="D3" s="39" t="s">
        <v>390</v>
      </c>
      <c r="E3" s="39" t="s">
        <v>390</v>
      </c>
      <c r="F3" s="39" t="s">
        <v>390</v>
      </c>
      <c r="G3" s="39"/>
      <c r="H3" s="39"/>
      <c r="I3" s="39"/>
      <c r="J3" s="39"/>
      <c r="K3" s="39"/>
      <c r="L3" s="39"/>
      <c r="M3" s="39"/>
      <c r="N3" s="39"/>
      <c r="O3" s="39"/>
      <c r="P3" s="39"/>
      <c r="Q3" s="39"/>
      <c r="R3" s="39"/>
      <c r="S3" s="39"/>
      <c r="T3" s="39"/>
      <c r="U3" s="39"/>
      <c r="V3" s="39"/>
      <c r="W3" s="39"/>
      <c r="X3" s="39"/>
      <c r="Y3" s="39"/>
      <c r="Z3" s="39"/>
      <c r="AA3" s="39"/>
      <c r="AB3" s="39"/>
      <c r="AC3" s="39"/>
      <c r="AD3" s="39"/>
      <c r="AE3" s="39"/>
    </row>
    <row r="4" spans="1:31">
      <c r="A4" s="38"/>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row>
    <row r="5" spans="1:31">
      <c r="A5" s="91" t="s">
        <v>238</v>
      </c>
      <c r="B5" s="91" t="s">
        <v>390</v>
      </c>
      <c r="C5" s="91" t="s">
        <v>390</v>
      </c>
      <c r="D5" s="91" t="s">
        <v>390</v>
      </c>
      <c r="E5" s="91" t="s">
        <v>390</v>
      </c>
      <c r="F5" s="91" t="s">
        <v>390</v>
      </c>
      <c r="G5" s="55"/>
      <c r="H5" s="55"/>
      <c r="I5" s="55"/>
      <c r="J5" s="55"/>
      <c r="K5" s="55"/>
      <c r="L5" s="55"/>
      <c r="M5" s="55"/>
      <c r="N5" s="55"/>
      <c r="O5" s="55"/>
      <c r="P5" s="55"/>
      <c r="Q5" s="55"/>
      <c r="R5" s="55"/>
      <c r="S5" s="55"/>
      <c r="T5" s="55"/>
      <c r="U5" s="55"/>
      <c r="V5" s="55"/>
      <c r="W5" s="55"/>
      <c r="X5" s="55"/>
      <c r="Y5" s="55"/>
      <c r="Z5" s="55"/>
      <c r="AA5" s="55"/>
      <c r="AB5" s="55"/>
      <c r="AC5" s="55"/>
      <c r="AD5" s="55"/>
      <c r="AE5" s="55"/>
    </row>
    <row r="6" spans="1:31">
      <c r="A6" s="91" t="s">
        <v>404</v>
      </c>
      <c r="B6" s="91" t="s">
        <v>390</v>
      </c>
      <c r="C6" s="91" t="s">
        <v>390</v>
      </c>
      <c r="D6" s="91" t="s">
        <v>390</v>
      </c>
      <c r="E6" s="91" t="s">
        <v>390</v>
      </c>
      <c r="F6" s="91" t="s">
        <v>390</v>
      </c>
      <c r="G6" s="55"/>
      <c r="H6" s="55"/>
      <c r="I6" s="55"/>
      <c r="J6" s="55"/>
      <c r="K6" s="55"/>
      <c r="L6" s="55"/>
      <c r="M6" s="55"/>
      <c r="N6" s="55"/>
      <c r="O6" s="55"/>
      <c r="P6" s="55"/>
      <c r="Q6" s="55"/>
      <c r="R6" s="55"/>
      <c r="S6" s="55"/>
      <c r="T6" s="55"/>
      <c r="U6" s="55"/>
      <c r="V6" s="55"/>
      <c r="W6" s="55"/>
      <c r="X6" s="55"/>
      <c r="Y6" s="55"/>
      <c r="Z6" s="55"/>
      <c r="AA6" s="55"/>
      <c r="AB6" s="55"/>
      <c r="AC6" s="55"/>
      <c r="AD6" s="55"/>
      <c r="AE6" s="55"/>
    </row>
    <row r="7" spans="1:31">
      <c r="A7" s="91" t="s">
        <v>240</v>
      </c>
      <c r="B7" s="91" t="s">
        <v>390</v>
      </c>
      <c r="C7" s="91" t="s">
        <v>390</v>
      </c>
      <c r="D7" s="91" t="s">
        <v>390</v>
      </c>
      <c r="E7" s="91" t="s">
        <v>390</v>
      </c>
      <c r="F7" s="91" t="s">
        <v>390</v>
      </c>
      <c r="G7" s="55"/>
      <c r="H7" s="55"/>
      <c r="I7" s="55"/>
      <c r="J7" s="55"/>
      <c r="K7" s="55"/>
      <c r="L7" s="55"/>
      <c r="M7" s="55"/>
      <c r="N7" s="55"/>
      <c r="O7" s="55"/>
      <c r="P7" s="55"/>
      <c r="Q7" s="55"/>
      <c r="R7" s="55"/>
      <c r="S7" s="55"/>
      <c r="T7" s="55"/>
      <c r="U7" s="55"/>
      <c r="V7" s="55"/>
      <c r="W7" s="55"/>
      <c r="X7" s="55"/>
      <c r="Y7" s="55"/>
      <c r="Z7" s="55"/>
      <c r="AA7" s="55"/>
      <c r="AB7" s="55"/>
      <c r="AC7" s="55"/>
      <c r="AD7" s="55"/>
      <c r="AE7" s="55"/>
    </row>
    <row r="8" spans="1:31" ht="25.5" customHeight="1">
      <c r="A8" s="91" t="s">
        <v>390</v>
      </c>
      <c r="B8" s="91" t="s">
        <v>0</v>
      </c>
      <c r="C8" s="91" t="s">
        <v>392</v>
      </c>
      <c r="D8" s="91" t="s">
        <v>393</v>
      </c>
      <c r="E8" s="91" t="s">
        <v>394</v>
      </c>
      <c r="F8" s="91" t="s">
        <v>395</v>
      </c>
      <c r="G8" s="55"/>
      <c r="H8" s="55"/>
      <c r="I8" s="55"/>
      <c r="J8" s="91" t="s">
        <v>0</v>
      </c>
      <c r="K8" s="91" t="s">
        <v>392</v>
      </c>
      <c r="L8" s="91" t="s">
        <v>393</v>
      </c>
      <c r="M8" s="91" t="s">
        <v>394</v>
      </c>
      <c r="N8" s="91" t="s">
        <v>395</v>
      </c>
      <c r="O8" s="55"/>
      <c r="P8" s="378"/>
      <c r="Q8" s="378" t="s">
        <v>405</v>
      </c>
      <c r="R8" s="378" t="s">
        <v>406</v>
      </c>
      <c r="S8" s="378" t="s">
        <v>407</v>
      </c>
      <c r="T8" s="378" t="s">
        <v>408</v>
      </c>
      <c r="U8" s="55"/>
      <c r="V8" s="55"/>
      <c r="W8" s="55"/>
      <c r="X8" s="55"/>
      <c r="Y8" s="55"/>
      <c r="Z8" s="55"/>
      <c r="AA8" s="55"/>
      <c r="AB8" s="55"/>
      <c r="AC8" s="55"/>
      <c r="AD8" s="55"/>
    </row>
    <row r="9" spans="1:31" ht="45" customHeight="1">
      <c r="A9" s="91"/>
      <c r="B9" s="91"/>
      <c r="C9" s="91"/>
      <c r="D9" s="91"/>
      <c r="E9" s="91"/>
      <c r="F9" s="91"/>
      <c r="G9" s="55"/>
      <c r="H9" s="55"/>
      <c r="I9" s="55"/>
      <c r="J9" s="91"/>
      <c r="K9" s="91"/>
      <c r="L9" s="91"/>
      <c r="M9" s="91"/>
      <c r="N9" s="91"/>
      <c r="O9" s="55"/>
      <c r="P9" s="378" t="s">
        <v>658</v>
      </c>
      <c r="Q9" s="401">
        <v>34080.699999999997</v>
      </c>
      <c r="R9" s="402">
        <v>19828.93</v>
      </c>
      <c r="S9" s="402">
        <v>13917.88</v>
      </c>
      <c r="T9" s="402">
        <v>2724.12</v>
      </c>
      <c r="U9" s="55"/>
      <c r="V9" s="55"/>
      <c r="W9" s="55"/>
      <c r="X9" s="55"/>
      <c r="Y9" s="55"/>
      <c r="Z9" s="55"/>
      <c r="AA9" s="55"/>
      <c r="AB9" s="55"/>
      <c r="AC9" s="55"/>
      <c r="AD9" s="55"/>
    </row>
    <row r="10" spans="1:31">
      <c r="A10" s="91"/>
      <c r="B10" s="91"/>
      <c r="C10" s="91"/>
      <c r="D10" s="91"/>
      <c r="E10" s="91"/>
      <c r="F10" s="91"/>
      <c r="G10" s="55"/>
      <c r="H10" s="55"/>
      <c r="I10" s="55"/>
      <c r="J10" s="91"/>
      <c r="K10" s="91"/>
      <c r="L10" s="91"/>
      <c r="M10" s="91"/>
      <c r="N10" s="91"/>
      <c r="O10" s="55"/>
      <c r="P10" s="378" t="s">
        <v>657</v>
      </c>
      <c r="Q10" s="401">
        <v>76324.679999999993</v>
      </c>
      <c r="R10" s="402">
        <v>35597</v>
      </c>
      <c r="S10" s="402">
        <v>57254.7</v>
      </c>
      <c r="T10" s="402">
        <v>30272</v>
      </c>
      <c r="U10" s="55"/>
      <c r="V10" s="55"/>
      <c r="W10" s="55"/>
      <c r="X10" s="55"/>
      <c r="Y10" s="55"/>
      <c r="Z10" s="55"/>
      <c r="AA10" s="55"/>
      <c r="AB10" s="55"/>
      <c r="AC10" s="55"/>
      <c r="AD10" s="55"/>
    </row>
    <row r="11" spans="1:31">
      <c r="A11" s="4" t="s">
        <v>409</v>
      </c>
      <c r="B11" s="4"/>
      <c r="C11" s="4"/>
      <c r="D11" s="4"/>
      <c r="E11" s="4"/>
      <c r="F11" s="4"/>
      <c r="G11" s="55"/>
      <c r="H11" s="55"/>
      <c r="I11" s="4" t="s">
        <v>409</v>
      </c>
      <c r="J11" s="55"/>
      <c r="K11" s="55"/>
      <c r="L11" s="55"/>
      <c r="M11" s="55"/>
      <c r="N11" s="55"/>
      <c r="O11" s="55"/>
      <c r="P11" s="378" t="s">
        <v>410</v>
      </c>
      <c r="Q11" s="374"/>
      <c r="R11" s="376"/>
      <c r="S11" s="376"/>
      <c r="T11" s="376"/>
      <c r="U11" s="55"/>
      <c r="V11" s="55"/>
      <c r="W11" s="55"/>
      <c r="X11" s="55"/>
      <c r="Y11" s="55"/>
      <c r="Z11" s="55"/>
      <c r="AA11" s="55"/>
      <c r="AB11" s="55"/>
      <c r="AC11" s="55"/>
      <c r="AD11" s="55"/>
    </row>
    <row r="12" spans="1:31">
      <c r="A12" s="92" t="s">
        <v>411</v>
      </c>
      <c r="B12" s="92">
        <v>18.350000000000001</v>
      </c>
      <c r="C12" s="92">
        <v>18.309999999999999</v>
      </c>
      <c r="D12" s="92">
        <v>18.28</v>
      </c>
      <c r="E12" s="92">
        <v>17.920000000000002</v>
      </c>
      <c r="F12" s="92">
        <v>17.8</v>
      </c>
      <c r="G12" s="13"/>
      <c r="H12" s="13"/>
      <c r="I12" s="38" t="s">
        <v>411</v>
      </c>
      <c r="J12" s="38">
        <v>18.350000000000001</v>
      </c>
      <c r="K12" s="38">
        <v>18.309999999999999</v>
      </c>
      <c r="L12" s="38">
        <v>18.28</v>
      </c>
      <c r="M12" s="38">
        <v>17.920000000000002</v>
      </c>
      <c r="N12" s="38">
        <v>17.8</v>
      </c>
      <c r="O12" s="13"/>
      <c r="P12" s="378" t="s">
        <v>412</v>
      </c>
      <c r="Q12" s="374"/>
      <c r="R12" s="376"/>
      <c r="S12" s="376"/>
      <c r="T12" s="376"/>
      <c r="U12" s="13"/>
      <c r="V12" s="13"/>
      <c r="W12" s="13"/>
      <c r="X12" s="13"/>
      <c r="Y12" s="13"/>
      <c r="Z12" s="13"/>
      <c r="AA12" s="13"/>
      <c r="AB12" s="13"/>
      <c r="AC12" s="13"/>
      <c r="AD12" s="13"/>
    </row>
    <row r="13" spans="1:31">
      <c r="A13" s="92"/>
      <c r="B13" s="92"/>
      <c r="C13" s="92"/>
      <c r="D13" s="92"/>
      <c r="E13" s="92"/>
      <c r="F13" s="92"/>
      <c r="G13" s="13"/>
      <c r="H13" s="13"/>
      <c r="I13" s="38"/>
      <c r="J13" s="38"/>
      <c r="K13" s="38"/>
      <c r="L13" s="38"/>
      <c r="M13" s="38"/>
      <c r="N13" s="38"/>
      <c r="O13" s="13"/>
      <c r="P13" s="379" t="s">
        <v>656</v>
      </c>
      <c r="Q13" s="375">
        <f>Q9/Q10</f>
        <v>0.44652267130369888</v>
      </c>
      <c r="R13" s="377">
        <f>R9/R10</f>
        <v>0.55703935724920639</v>
      </c>
      <c r="S13" s="377">
        <f>S9/S10</f>
        <v>0.24308711773880573</v>
      </c>
      <c r="T13" s="377">
        <f>T9/T10</f>
        <v>8.9988107822410138E-2</v>
      </c>
      <c r="U13" s="13"/>
      <c r="V13" s="13"/>
      <c r="W13" s="13"/>
      <c r="X13" s="13"/>
      <c r="Y13" s="13"/>
      <c r="Z13" s="13"/>
      <c r="AA13" s="13"/>
      <c r="AB13" s="13"/>
      <c r="AC13" s="13"/>
      <c r="AD13" s="13"/>
    </row>
    <row r="14" spans="1:31">
      <c r="A14" s="38" t="s">
        <v>413</v>
      </c>
      <c r="B14" s="38">
        <v>14.15</v>
      </c>
      <c r="C14" s="38">
        <v>14.04</v>
      </c>
      <c r="D14" s="38">
        <v>14.05</v>
      </c>
      <c r="E14" s="38">
        <v>14.16</v>
      </c>
      <c r="F14" s="38">
        <v>14.5</v>
      </c>
      <c r="G14" s="101"/>
      <c r="H14" s="101"/>
      <c r="I14" s="38" t="s">
        <v>414</v>
      </c>
      <c r="J14" s="38">
        <v>4.2</v>
      </c>
      <c r="K14" s="38">
        <v>4.28</v>
      </c>
      <c r="L14" s="38">
        <v>4.2300000000000004</v>
      </c>
      <c r="M14" s="38">
        <v>3.76</v>
      </c>
      <c r="N14" s="38">
        <v>3.31</v>
      </c>
      <c r="O14" s="101"/>
      <c r="P14" s="379" t="s">
        <v>411</v>
      </c>
      <c r="Q14" s="375">
        <f>J12</f>
        <v>18.350000000000001</v>
      </c>
      <c r="R14" s="377">
        <v>17.41</v>
      </c>
      <c r="S14" s="377">
        <v>10.69</v>
      </c>
      <c r="T14" s="377">
        <v>12.47</v>
      </c>
      <c r="U14" s="101"/>
      <c r="V14" s="638"/>
      <c r="W14" s="638"/>
      <c r="X14" s="638"/>
      <c r="Y14" s="253"/>
      <c r="Z14" s="101"/>
      <c r="AA14" s="101"/>
      <c r="AB14" s="101"/>
      <c r="AC14" s="101"/>
      <c r="AD14" s="101"/>
    </row>
    <row r="15" spans="1:31">
      <c r="A15" s="92" t="s">
        <v>414</v>
      </c>
      <c r="B15" s="92">
        <v>4.2</v>
      </c>
      <c r="C15" s="92">
        <v>4.28</v>
      </c>
      <c r="D15" s="92">
        <v>4.2300000000000004</v>
      </c>
      <c r="E15" s="92">
        <v>3.76</v>
      </c>
      <c r="F15" s="92">
        <v>3.31</v>
      </c>
      <c r="G15" s="101"/>
      <c r="H15" s="101"/>
      <c r="I15" s="38" t="s">
        <v>415</v>
      </c>
      <c r="J15" s="38">
        <v>2.17</v>
      </c>
      <c r="K15" s="38">
        <v>2.4</v>
      </c>
      <c r="L15" s="38">
        <v>2.69</v>
      </c>
      <c r="M15" s="38">
        <v>1.93</v>
      </c>
      <c r="N15" s="38">
        <v>1.29</v>
      </c>
      <c r="O15" s="101"/>
      <c r="P15" s="379" t="s">
        <v>414</v>
      </c>
      <c r="Q15" s="375">
        <f>J14</f>
        <v>4.2</v>
      </c>
      <c r="R15" s="377">
        <v>3.37</v>
      </c>
      <c r="S15" s="377">
        <v>1.36</v>
      </c>
      <c r="T15" s="377">
        <v>0.78</v>
      </c>
      <c r="U15" s="101"/>
      <c r="V15" s="637"/>
      <c r="W15" s="637"/>
      <c r="X15" s="637"/>
      <c r="Y15" s="636"/>
      <c r="Z15" s="101"/>
      <c r="AA15" s="102"/>
      <c r="AB15" s="101"/>
      <c r="AC15" s="101"/>
      <c r="AD15" s="101"/>
    </row>
    <row r="16" spans="1:31">
      <c r="A16" s="38" t="s">
        <v>416</v>
      </c>
      <c r="B16" s="38">
        <v>2.84</v>
      </c>
      <c r="C16" s="38">
        <v>3.14</v>
      </c>
      <c r="D16" s="38">
        <v>3.51</v>
      </c>
      <c r="E16" s="38">
        <v>2.4500000000000002</v>
      </c>
      <c r="F16" s="38">
        <v>1.59</v>
      </c>
      <c r="G16" s="101"/>
      <c r="H16" s="101"/>
      <c r="I16" s="38" t="s">
        <v>417</v>
      </c>
      <c r="J16" s="38">
        <v>6.85</v>
      </c>
      <c r="K16" s="38">
        <v>7.72</v>
      </c>
      <c r="L16" s="38">
        <v>8.89</v>
      </c>
      <c r="M16" s="38">
        <v>6.53</v>
      </c>
      <c r="N16" s="38">
        <v>3.58</v>
      </c>
      <c r="O16" s="101"/>
      <c r="P16" s="379" t="s">
        <v>415</v>
      </c>
      <c r="Q16" s="375">
        <f>J15</f>
        <v>2.17</v>
      </c>
      <c r="R16" s="377">
        <v>1.71</v>
      </c>
      <c r="S16" s="377">
        <v>0.52</v>
      </c>
      <c r="T16" s="377">
        <v>-0.27</v>
      </c>
      <c r="U16" s="101"/>
      <c r="V16" s="635"/>
      <c r="W16" s="635"/>
      <c r="X16" s="635"/>
      <c r="Y16" s="631"/>
      <c r="Z16" s="101"/>
      <c r="AA16" s="101"/>
      <c r="AB16" s="101"/>
      <c r="AC16" s="101"/>
      <c r="AD16" s="101"/>
    </row>
    <row r="17" spans="1:31">
      <c r="A17" s="92" t="s">
        <v>415</v>
      </c>
      <c r="B17" s="92">
        <v>2.17</v>
      </c>
      <c r="C17" s="92">
        <v>2.4</v>
      </c>
      <c r="D17" s="92">
        <v>2.69</v>
      </c>
      <c r="E17" s="92">
        <v>1.93</v>
      </c>
      <c r="F17" s="92">
        <v>1.29</v>
      </c>
      <c r="G17" s="101"/>
      <c r="H17" s="101"/>
      <c r="I17" s="38" t="s">
        <v>418</v>
      </c>
      <c r="J17" s="38">
        <v>83.64</v>
      </c>
      <c r="K17" s="38">
        <v>87.49</v>
      </c>
      <c r="L17" s="38">
        <v>108.42</v>
      </c>
      <c r="M17" s="38">
        <v>106.87</v>
      </c>
      <c r="N17" s="38">
        <v>59.33</v>
      </c>
      <c r="O17" s="101"/>
      <c r="P17" s="379" t="s">
        <v>417</v>
      </c>
      <c r="Q17" s="375">
        <f>J16</f>
        <v>6.85</v>
      </c>
      <c r="R17" s="377">
        <v>4.8099999999999996</v>
      </c>
      <c r="S17" s="377">
        <v>1.93</v>
      </c>
      <c r="T17" s="377">
        <v>-1.1299999999999999</v>
      </c>
      <c r="U17" s="101"/>
      <c r="V17" s="56"/>
      <c r="W17" s="634"/>
      <c r="X17" s="633"/>
      <c r="Y17" s="632"/>
      <c r="Z17" s="101"/>
      <c r="AA17" s="101"/>
      <c r="AB17" s="101"/>
      <c r="AC17" s="101"/>
      <c r="AD17" s="101"/>
    </row>
    <row r="18" spans="1:31">
      <c r="A18" s="38" t="s">
        <v>419</v>
      </c>
      <c r="B18" s="38">
        <v>2.12</v>
      </c>
      <c r="C18" s="38">
        <v>2.25</v>
      </c>
      <c r="D18" s="38">
        <v>3.08</v>
      </c>
      <c r="E18" s="38">
        <v>1.57</v>
      </c>
      <c r="F18" s="38">
        <v>1.41</v>
      </c>
      <c r="G18" s="101"/>
      <c r="H18" s="101"/>
      <c r="I18" s="38" t="s">
        <v>420</v>
      </c>
      <c r="J18" s="38">
        <v>11.86</v>
      </c>
      <c r="K18" s="38">
        <v>13.09</v>
      </c>
      <c r="L18" s="38">
        <v>15.09</v>
      </c>
      <c r="M18" s="38">
        <v>11.41</v>
      </c>
      <c r="N18" s="38">
        <v>5.83</v>
      </c>
      <c r="O18" s="101"/>
      <c r="P18" s="379" t="s">
        <v>418</v>
      </c>
      <c r="Q18" s="375">
        <f>J17</f>
        <v>83.64</v>
      </c>
      <c r="R18" s="377">
        <v>15.3</v>
      </c>
      <c r="S18" s="377">
        <v>7.75</v>
      </c>
      <c r="T18" s="377">
        <v>-5.4</v>
      </c>
      <c r="U18" s="101"/>
      <c r="V18" s="56"/>
      <c r="W18" s="634"/>
      <c r="X18" s="633"/>
      <c r="Y18" s="632"/>
      <c r="Z18" s="101"/>
      <c r="AA18" s="101"/>
      <c r="AB18" s="101"/>
      <c r="AC18" s="101"/>
      <c r="AD18" s="101"/>
    </row>
    <row r="19" spans="1:31">
      <c r="A19" s="92" t="s">
        <v>421</v>
      </c>
      <c r="B19" s="92">
        <v>40.9</v>
      </c>
      <c r="C19" s="92">
        <v>41.78</v>
      </c>
      <c r="D19" s="92">
        <v>66.59</v>
      </c>
      <c r="E19" s="92">
        <v>12.73</v>
      </c>
      <c r="F19" s="94">
        <v>-10.71</v>
      </c>
      <c r="G19" s="101"/>
      <c r="H19" s="101"/>
      <c r="I19" s="4" t="s">
        <v>422</v>
      </c>
      <c r="J19" s="101"/>
      <c r="K19" s="101"/>
      <c r="L19" s="101"/>
      <c r="M19" s="101"/>
      <c r="N19" s="101"/>
      <c r="O19" s="101"/>
      <c r="P19" s="379" t="s">
        <v>420</v>
      </c>
      <c r="Q19" s="375">
        <f>J18</f>
        <v>11.86</v>
      </c>
      <c r="R19" s="377">
        <v>7.02</v>
      </c>
      <c r="S19" s="377">
        <v>2.86</v>
      </c>
      <c r="T19" s="377">
        <v>11.43</v>
      </c>
      <c r="U19" s="101"/>
      <c r="V19" s="56"/>
      <c r="W19" s="634"/>
      <c r="X19" s="56"/>
      <c r="Y19" s="89"/>
      <c r="Z19" s="101"/>
      <c r="AA19" s="101"/>
      <c r="AB19" s="101"/>
      <c r="AC19" s="101"/>
      <c r="AD19" s="101"/>
    </row>
    <row r="20" spans="1:31">
      <c r="A20" s="38" t="s">
        <v>423</v>
      </c>
      <c r="B20" s="38">
        <v>1.06</v>
      </c>
      <c r="C20" s="38">
        <v>1.02</v>
      </c>
      <c r="D20" s="38">
        <v>1.07</v>
      </c>
      <c r="E20" s="38">
        <v>1.03</v>
      </c>
      <c r="F20" s="38">
        <v>0.8</v>
      </c>
      <c r="G20" s="101"/>
      <c r="H20" s="101"/>
      <c r="I20" s="38" t="s">
        <v>424</v>
      </c>
      <c r="J20" s="38">
        <v>24.04</v>
      </c>
      <c r="K20" s="38">
        <v>24.05</v>
      </c>
      <c r="L20" s="38">
        <v>24.09</v>
      </c>
      <c r="M20" s="38">
        <v>22.95</v>
      </c>
      <c r="N20" s="38">
        <v>21.7</v>
      </c>
      <c r="O20" s="103"/>
      <c r="P20" s="378" t="s">
        <v>425</v>
      </c>
      <c r="Q20" s="375"/>
      <c r="R20" s="377"/>
      <c r="S20" s="377"/>
      <c r="T20" s="377"/>
      <c r="U20" s="101"/>
      <c r="V20" s="635"/>
      <c r="W20" s="634"/>
      <c r="X20" s="633"/>
      <c r="Y20" s="632"/>
      <c r="Z20" s="101"/>
      <c r="AA20" s="101"/>
      <c r="AB20" s="103"/>
      <c r="AC20" s="101"/>
      <c r="AD20" s="101"/>
    </row>
    <row r="21" spans="1:31">
      <c r="A21" s="92" t="s">
        <v>417</v>
      </c>
      <c r="B21" s="92">
        <v>6.85</v>
      </c>
      <c r="C21" s="92">
        <v>7.72</v>
      </c>
      <c r="D21" s="92">
        <v>8.89</v>
      </c>
      <c r="E21" s="92">
        <v>6.53</v>
      </c>
      <c r="F21" s="92">
        <v>3.58</v>
      </c>
      <c r="G21" s="101"/>
      <c r="H21" s="101"/>
      <c r="I21" s="38" t="s">
        <v>426</v>
      </c>
      <c r="J21" s="38">
        <v>31.8</v>
      </c>
      <c r="K21" s="38">
        <v>31.95</v>
      </c>
      <c r="L21" s="38">
        <v>32.119999999999997</v>
      </c>
      <c r="M21" s="38">
        <v>31.26</v>
      </c>
      <c r="N21" s="38">
        <v>30.72</v>
      </c>
      <c r="O21" s="101"/>
      <c r="P21" s="379" t="s">
        <v>424</v>
      </c>
      <c r="Q21" s="375">
        <f>J20</f>
        <v>24.04</v>
      </c>
      <c r="R21" s="377">
        <v>20.5</v>
      </c>
      <c r="S21" s="377">
        <v>15.24</v>
      </c>
      <c r="T21" s="377">
        <v>11.91</v>
      </c>
      <c r="U21" s="101"/>
      <c r="V21" s="635"/>
      <c r="W21" s="634"/>
      <c r="X21" s="633"/>
      <c r="Y21" s="632"/>
      <c r="Z21" s="101"/>
      <c r="AA21" s="101"/>
      <c r="AB21" s="101"/>
      <c r="AC21" s="101"/>
      <c r="AD21" s="101"/>
    </row>
    <row r="22" spans="1:31">
      <c r="A22" s="38" t="s">
        <v>418</v>
      </c>
      <c r="B22" s="38">
        <v>83.64</v>
      </c>
      <c r="C22" s="38">
        <v>87.49</v>
      </c>
      <c r="D22" s="38">
        <v>108.42</v>
      </c>
      <c r="E22" s="38">
        <v>106.87</v>
      </c>
      <c r="F22" s="38">
        <v>59.33</v>
      </c>
      <c r="G22" s="101"/>
      <c r="H22" s="101"/>
      <c r="I22" s="38" t="s">
        <v>427</v>
      </c>
      <c r="J22" s="38">
        <v>20.12</v>
      </c>
      <c r="K22" s="38">
        <v>19.2</v>
      </c>
      <c r="L22" s="38">
        <v>19.010000000000002</v>
      </c>
      <c r="M22" s="38">
        <v>18.21</v>
      </c>
      <c r="N22" s="38">
        <v>17.36</v>
      </c>
      <c r="O22" s="101"/>
      <c r="P22" s="379" t="s">
        <v>426</v>
      </c>
      <c r="Q22" s="375">
        <f>J21</f>
        <v>31.8</v>
      </c>
      <c r="R22" s="377">
        <v>26.15</v>
      </c>
      <c r="S22" s="377">
        <v>19.27</v>
      </c>
      <c r="T22" s="377">
        <v>24.25</v>
      </c>
      <c r="U22" s="101"/>
      <c r="V22" s="631"/>
      <c r="W22" s="89"/>
      <c r="X22" s="89"/>
      <c r="Y22" s="89"/>
      <c r="Z22" s="101"/>
      <c r="AA22" s="101"/>
      <c r="AB22" s="101"/>
      <c r="AC22" s="101"/>
      <c r="AD22" s="101"/>
    </row>
    <row r="23" spans="1:31">
      <c r="A23" s="92" t="s">
        <v>428</v>
      </c>
      <c r="B23" s="92">
        <v>83.64</v>
      </c>
      <c r="C23" s="92">
        <v>87.49</v>
      </c>
      <c r="D23" s="92">
        <v>108.42</v>
      </c>
      <c r="E23" s="92">
        <v>106.87</v>
      </c>
      <c r="F23" s="92">
        <v>59.33</v>
      </c>
      <c r="G23" s="101"/>
      <c r="H23" s="101"/>
      <c r="I23" s="4" t="s">
        <v>429</v>
      </c>
      <c r="J23" s="101"/>
      <c r="K23" s="101"/>
      <c r="L23" s="101"/>
      <c r="M23" s="101"/>
      <c r="N23" s="101"/>
      <c r="O23" s="101"/>
      <c r="P23" s="379" t="s">
        <v>427</v>
      </c>
      <c r="Q23" s="375">
        <f>J22</f>
        <v>20.12</v>
      </c>
      <c r="R23" s="377">
        <v>13.05</v>
      </c>
      <c r="S23" s="377">
        <v>21.39</v>
      </c>
      <c r="T23" s="377">
        <v>16.399999999999999</v>
      </c>
      <c r="U23" s="101"/>
      <c r="V23" s="629"/>
      <c r="W23" s="630"/>
      <c r="X23" s="629"/>
      <c r="Y23" s="629"/>
      <c r="Z23" s="101"/>
      <c r="AA23" s="101"/>
      <c r="AB23" s="101"/>
      <c r="AC23" s="101"/>
      <c r="AD23" s="101"/>
    </row>
    <row r="24" spans="1:31">
      <c r="A24" s="38" t="s">
        <v>430</v>
      </c>
      <c r="B24" s="38">
        <v>21.01</v>
      </c>
      <c r="C24" s="38">
        <v>22.14</v>
      </c>
      <c r="D24" s="38">
        <v>22.88</v>
      </c>
      <c r="E24" s="38">
        <v>20.98</v>
      </c>
      <c r="F24" s="38">
        <v>13.82</v>
      </c>
      <c r="G24" s="101"/>
      <c r="H24" s="101"/>
      <c r="I24" s="38" t="s">
        <v>431</v>
      </c>
      <c r="J24" s="38">
        <v>55.07</v>
      </c>
      <c r="K24" s="38">
        <v>54.07</v>
      </c>
      <c r="L24" s="38">
        <v>52.42</v>
      </c>
      <c r="M24" s="38">
        <v>53.38</v>
      </c>
      <c r="N24" s="38">
        <v>55.27</v>
      </c>
      <c r="O24" s="101"/>
      <c r="P24" s="378" t="s">
        <v>432</v>
      </c>
      <c r="Q24" s="375"/>
      <c r="R24" s="377"/>
      <c r="S24" s="377"/>
      <c r="T24" s="377"/>
      <c r="U24" s="101"/>
      <c r="V24" s="101"/>
      <c r="W24" s="101"/>
      <c r="X24" s="101"/>
      <c r="Y24" s="101"/>
      <c r="Z24" s="101"/>
      <c r="AA24" s="101"/>
      <c r="AB24" s="101"/>
      <c r="AC24" s="101"/>
      <c r="AD24" s="101"/>
    </row>
    <row r="25" spans="1:31">
      <c r="A25" s="92" t="s">
        <v>420</v>
      </c>
      <c r="B25" s="92">
        <v>11.86</v>
      </c>
      <c r="C25" s="92">
        <v>13.09</v>
      </c>
      <c r="D25" s="92">
        <v>15.09</v>
      </c>
      <c r="E25" s="92">
        <v>11.41</v>
      </c>
      <c r="F25" s="92">
        <v>5.83</v>
      </c>
      <c r="G25" s="101"/>
      <c r="H25" s="101"/>
      <c r="I25" s="4"/>
      <c r="J25" s="284"/>
      <c r="K25" s="101"/>
      <c r="L25" s="101"/>
      <c r="M25" s="101"/>
      <c r="N25" s="101"/>
      <c r="O25" s="101"/>
      <c r="P25" s="379" t="s">
        <v>431</v>
      </c>
      <c r="Q25" s="375">
        <f>J24</f>
        <v>55.07</v>
      </c>
      <c r="R25" s="377">
        <v>39.99</v>
      </c>
      <c r="S25" s="377">
        <v>43.32</v>
      </c>
      <c r="T25" s="377">
        <v>45.08</v>
      </c>
      <c r="U25" s="101"/>
      <c r="V25" s="101"/>
      <c r="W25" s="101"/>
      <c r="X25" s="101"/>
      <c r="Y25" s="101"/>
      <c r="Z25" s="101"/>
      <c r="AA25" s="101"/>
      <c r="AB25" s="101"/>
      <c r="AC25" s="101"/>
      <c r="AD25" s="101"/>
    </row>
    <row r="26" spans="1:31">
      <c r="A26" s="38" t="s">
        <v>433</v>
      </c>
      <c r="B26" s="38">
        <v>17.3</v>
      </c>
      <c r="C26" s="38">
        <v>17.82</v>
      </c>
      <c r="D26" s="38">
        <v>23.34</v>
      </c>
      <c r="E26" s="38">
        <v>15.41</v>
      </c>
      <c r="F26" s="38">
        <v>9.98</v>
      </c>
      <c r="G26" s="101"/>
      <c r="H26" s="101"/>
      <c r="I26" s="101"/>
      <c r="J26" s="101"/>
      <c r="K26" s="101"/>
      <c r="L26" s="101"/>
      <c r="M26" s="101"/>
      <c r="N26" s="101"/>
      <c r="O26" s="101"/>
      <c r="P26" s="378" t="s">
        <v>434</v>
      </c>
      <c r="Q26" s="375"/>
      <c r="R26" s="377"/>
      <c r="S26" s="377"/>
      <c r="T26" s="377"/>
      <c r="U26" s="101"/>
      <c r="V26" s="101"/>
      <c r="W26" s="101"/>
      <c r="X26" s="101"/>
      <c r="Y26" s="101"/>
      <c r="Z26" s="101"/>
      <c r="AA26" s="101"/>
      <c r="AB26" s="101"/>
      <c r="AC26" s="101"/>
      <c r="AD26" s="101"/>
    </row>
    <row r="27" spans="1:31">
      <c r="A27" s="93" t="s">
        <v>435</v>
      </c>
      <c r="B27" s="93" t="s">
        <v>390</v>
      </c>
      <c r="C27" s="93" t="s">
        <v>390</v>
      </c>
      <c r="D27" s="93" t="s">
        <v>390</v>
      </c>
      <c r="E27" s="93" t="s">
        <v>390</v>
      </c>
      <c r="F27" s="93" t="s">
        <v>390</v>
      </c>
      <c r="G27" s="101"/>
      <c r="H27" s="101"/>
      <c r="I27" s="101"/>
      <c r="J27" s="101"/>
      <c r="K27" s="101"/>
      <c r="L27" s="101"/>
      <c r="M27" s="101"/>
      <c r="N27" s="101"/>
      <c r="O27" s="101"/>
      <c r="P27" s="379" t="s">
        <v>436</v>
      </c>
      <c r="Q27" s="375">
        <f>B103</f>
        <v>6.32</v>
      </c>
      <c r="R27" s="377">
        <v>5.88</v>
      </c>
      <c r="S27" s="377">
        <v>2.94</v>
      </c>
      <c r="T27" s="377">
        <v>2.62</v>
      </c>
      <c r="U27" s="101"/>
      <c r="V27" s="101"/>
      <c r="W27" s="101"/>
      <c r="X27" s="101"/>
      <c r="Y27" s="101"/>
      <c r="Z27" s="101"/>
      <c r="AA27" s="101"/>
      <c r="AB27" s="101"/>
      <c r="AC27" s="101"/>
      <c r="AD27" s="101"/>
    </row>
    <row r="28" spans="1:31">
      <c r="A28" s="38" t="s">
        <v>437</v>
      </c>
      <c r="B28" s="38">
        <v>14.3</v>
      </c>
      <c r="C28" s="38">
        <v>13.75</v>
      </c>
      <c r="D28" s="38">
        <v>14.61</v>
      </c>
      <c r="E28" s="38">
        <v>19.399999999999999</v>
      </c>
      <c r="F28" s="38">
        <v>24.21</v>
      </c>
      <c r="G28" s="13"/>
      <c r="H28" s="13"/>
      <c r="I28" s="13"/>
      <c r="J28" s="13"/>
      <c r="K28" s="13"/>
      <c r="L28" s="13"/>
      <c r="M28" s="13"/>
      <c r="N28" s="13"/>
      <c r="O28" s="13"/>
      <c r="P28" s="379" t="s">
        <v>438</v>
      </c>
      <c r="Q28" s="375">
        <f>B89</f>
        <v>3.73</v>
      </c>
      <c r="R28" s="377">
        <v>4.1100000000000003</v>
      </c>
      <c r="S28" s="377">
        <v>6.76</v>
      </c>
      <c r="T28" s="377">
        <v>8.81</v>
      </c>
      <c r="U28" s="13"/>
      <c r="V28" s="13"/>
      <c r="W28" s="13"/>
      <c r="X28" s="13"/>
      <c r="Y28" s="13"/>
      <c r="Z28" s="13"/>
      <c r="AA28" s="13"/>
      <c r="AB28" s="13"/>
      <c r="AC28" s="13"/>
      <c r="AD28" s="13"/>
    </row>
    <row r="29" spans="1:31">
      <c r="A29" s="92" t="s">
        <v>439</v>
      </c>
      <c r="B29" s="92">
        <v>10.88</v>
      </c>
      <c r="C29" s="92">
        <v>10.53</v>
      </c>
      <c r="D29" s="92">
        <v>11.36</v>
      </c>
      <c r="E29" s="92">
        <v>14.7</v>
      </c>
      <c r="F29" s="92">
        <v>16.920000000000002</v>
      </c>
      <c r="G29" s="101"/>
      <c r="H29" s="101"/>
      <c r="I29" s="101"/>
      <c r="J29" s="101"/>
      <c r="K29" s="101"/>
      <c r="L29" s="101"/>
      <c r="M29" s="101"/>
      <c r="N29" s="101"/>
      <c r="O29" s="101"/>
      <c r="P29" s="13"/>
      <c r="Q29" s="13"/>
      <c r="R29" s="13"/>
      <c r="S29" s="13"/>
      <c r="T29" s="13"/>
      <c r="U29" s="101"/>
      <c r="V29" s="101"/>
      <c r="W29" s="101"/>
      <c r="X29" s="101"/>
      <c r="Y29" s="101"/>
      <c r="Z29" s="101"/>
      <c r="AA29" s="101"/>
      <c r="AB29" s="101"/>
      <c r="AC29" s="101"/>
      <c r="AD29" s="101"/>
      <c r="AE29" s="101"/>
    </row>
    <row r="30" spans="1:31">
      <c r="A30" s="38" t="s">
        <v>440</v>
      </c>
      <c r="B30" s="38">
        <v>0.6</v>
      </c>
      <c r="C30" s="38">
        <v>0.59</v>
      </c>
      <c r="D30" s="38">
        <v>0.62</v>
      </c>
      <c r="E30" s="38">
        <v>0.73</v>
      </c>
      <c r="F30" s="38">
        <v>0.8</v>
      </c>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row>
    <row r="31" spans="1:31">
      <c r="A31" s="92" t="s">
        <v>441</v>
      </c>
      <c r="B31" s="92">
        <v>0.3</v>
      </c>
      <c r="C31" s="92">
        <v>0.28999999999999998</v>
      </c>
      <c r="D31" s="92">
        <v>0.27</v>
      </c>
      <c r="E31" s="92">
        <v>0.22</v>
      </c>
      <c r="F31" s="92">
        <v>0.24</v>
      </c>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row>
    <row r="32" spans="1:31">
      <c r="A32" s="4" t="s">
        <v>442</v>
      </c>
      <c r="B32" s="4"/>
      <c r="C32" s="4"/>
      <c r="D32" s="4"/>
      <c r="E32" s="4"/>
      <c r="F32" s="4"/>
      <c r="G32" s="103"/>
      <c r="H32" s="103"/>
      <c r="I32" s="103"/>
      <c r="J32" s="103"/>
      <c r="K32" s="101"/>
      <c r="L32" s="101"/>
      <c r="M32" s="101"/>
      <c r="N32" s="101"/>
      <c r="O32" s="101"/>
      <c r="P32" s="101"/>
      <c r="Q32" s="101"/>
      <c r="R32" s="101"/>
      <c r="S32" s="101"/>
      <c r="T32" s="101"/>
      <c r="U32" s="101"/>
      <c r="V32" s="101"/>
      <c r="W32" s="101"/>
      <c r="X32" s="101"/>
      <c r="Y32" s="101"/>
      <c r="Z32" s="101"/>
      <c r="AA32" s="101"/>
      <c r="AB32" s="101"/>
      <c r="AC32" s="101"/>
      <c r="AD32" s="101"/>
      <c r="AE32" s="101"/>
    </row>
    <row r="33" spans="1:31">
      <c r="A33" s="92" t="s">
        <v>443</v>
      </c>
      <c r="B33" s="92">
        <v>171.94</v>
      </c>
      <c r="C33" s="92">
        <v>163.49</v>
      </c>
      <c r="D33" s="92">
        <v>153.21</v>
      </c>
      <c r="E33" s="92">
        <v>144.22999999999999</v>
      </c>
      <c r="F33" s="92">
        <v>118.04</v>
      </c>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row>
    <row r="34" spans="1:31">
      <c r="A34" s="38" t="s">
        <v>444</v>
      </c>
      <c r="B34" s="38">
        <v>7.22</v>
      </c>
      <c r="C34" s="38">
        <v>6.99</v>
      </c>
      <c r="D34" s="38">
        <v>6.48</v>
      </c>
      <c r="E34" s="38">
        <v>5.42</v>
      </c>
      <c r="F34" s="38">
        <v>3.9</v>
      </c>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row>
    <row r="35" spans="1:31">
      <c r="A35" s="92" t="s">
        <v>269</v>
      </c>
      <c r="B35" s="92">
        <v>4.4400000000000004</v>
      </c>
      <c r="C35" s="92">
        <v>4.2300000000000004</v>
      </c>
      <c r="D35" s="92">
        <v>4.29</v>
      </c>
      <c r="E35" s="92">
        <v>2.98</v>
      </c>
      <c r="F35" s="92">
        <v>2.38</v>
      </c>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row>
    <row r="36" spans="1:31">
      <c r="A36" s="38" t="s">
        <v>270</v>
      </c>
      <c r="B36" s="38">
        <v>3.73</v>
      </c>
      <c r="C36" s="38">
        <v>3.91</v>
      </c>
      <c r="D36" s="38">
        <v>4.1100000000000003</v>
      </c>
      <c r="E36" s="38">
        <v>2.79</v>
      </c>
      <c r="F36" s="38">
        <v>1.53</v>
      </c>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row>
    <row r="37" spans="1:31">
      <c r="A37" s="92" t="s">
        <v>273</v>
      </c>
      <c r="B37" s="92">
        <v>3.72</v>
      </c>
      <c r="C37" s="92">
        <v>3.89</v>
      </c>
      <c r="D37" s="92">
        <v>4.0999999999999996</v>
      </c>
      <c r="E37" s="92">
        <v>2.77</v>
      </c>
      <c r="F37" s="92">
        <v>1.52</v>
      </c>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01"/>
    </row>
    <row r="38" spans="1:31">
      <c r="A38" s="38" t="s">
        <v>276</v>
      </c>
      <c r="B38" s="38">
        <v>2.13</v>
      </c>
      <c r="C38" s="38">
        <v>2.0299999999999998</v>
      </c>
      <c r="D38" s="38">
        <v>1.99</v>
      </c>
      <c r="E38" s="38">
        <v>1.94</v>
      </c>
      <c r="F38" s="38">
        <v>1.86</v>
      </c>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row>
    <row r="39" spans="1:31">
      <c r="A39" s="92" t="s">
        <v>445</v>
      </c>
      <c r="B39" s="92">
        <v>57.29</v>
      </c>
      <c r="C39" s="92">
        <v>52.15</v>
      </c>
      <c r="D39" s="92">
        <v>48.55</v>
      </c>
      <c r="E39" s="92">
        <v>69.92</v>
      </c>
      <c r="F39" s="92">
        <v>122.06</v>
      </c>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row>
    <row r="40" spans="1:31">
      <c r="A40" s="38" t="s">
        <v>328</v>
      </c>
      <c r="B40" s="38">
        <v>4.7699999999999996</v>
      </c>
      <c r="C40" s="38">
        <v>4.1100000000000003</v>
      </c>
      <c r="D40" s="38">
        <v>4.7699999999999996</v>
      </c>
      <c r="E40" s="38">
        <v>2.83</v>
      </c>
      <c r="F40" s="38">
        <v>2.41</v>
      </c>
      <c r="G40" s="13"/>
      <c r="H40" s="13"/>
      <c r="I40" s="13"/>
      <c r="J40" s="13"/>
      <c r="K40" s="13"/>
      <c r="L40" s="13"/>
      <c r="M40" s="13"/>
      <c r="N40" s="13"/>
      <c r="O40" s="13"/>
      <c r="P40" s="101"/>
      <c r="Q40" s="101"/>
      <c r="R40" s="101"/>
      <c r="S40" s="101"/>
      <c r="T40" s="101"/>
      <c r="U40" s="13"/>
      <c r="V40" s="13"/>
      <c r="W40" s="13"/>
      <c r="X40" s="13"/>
      <c r="Y40" s="13"/>
      <c r="Z40" s="13"/>
      <c r="AA40" s="13"/>
      <c r="AB40" s="13"/>
      <c r="AC40" s="13"/>
      <c r="AD40" s="13"/>
      <c r="AE40" s="13"/>
    </row>
    <row r="41" spans="1:31">
      <c r="A41" s="92" t="s">
        <v>329</v>
      </c>
      <c r="B41" s="94">
        <v>-8.44</v>
      </c>
      <c r="C41" s="94">
        <v>-8.68</v>
      </c>
      <c r="D41" s="94">
        <v>-7.99</v>
      </c>
      <c r="E41" s="94">
        <v>-7.99</v>
      </c>
      <c r="F41" s="94">
        <v>-8.09</v>
      </c>
      <c r="G41" s="101"/>
      <c r="H41" s="101"/>
      <c r="I41" s="101"/>
      <c r="J41" s="101"/>
      <c r="K41" s="101"/>
      <c r="L41" s="101"/>
      <c r="M41" s="101"/>
      <c r="N41" s="101"/>
      <c r="O41" s="101"/>
      <c r="P41" s="13"/>
      <c r="Q41" s="13"/>
      <c r="R41" s="13"/>
      <c r="S41" s="13"/>
      <c r="T41" s="13"/>
      <c r="U41" s="101"/>
      <c r="V41" s="101"/>
      <c r="W41" s="101"/>
      <c r="X41" s="101"/>
      <c r="Y41" s="101"/>
      <c r="Z41" s="101"/>
      <c r="AA41" s="101"/>
      <c r="AB41" s="101"/>
      <c r="AC41" s="101"/>
      <c r="AD41" s="101"/>
      <c r="AE41" s="101"/>
    </row>
    <row r="42" spans="1:31">
      <c r="A42" s="38" t="s">
        <v>446</v>
      </c>
      <c r="B42" s="38">
        <v>5.46</v>
      </c>
      <c r="C42" s="38">
        <v>5.34</v>
      </c>
      <c r="D42" s="38">
        <v>6.36</v>
      </c>
      <c r="E42" s="38">
        <v>3.76</v>
      </c>
      <c r="F42" s="38">
        <v>2.61</v>
      </c>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row>
    <row r="43" spans="1:31">
      <c r="A43" s="92" t="s">
        <v>371</v>
      </c>
      <c r="B43" s="92">
        <v>3.64</v>
      </c>
      <c r="C43" s="92">
        <v>3.68</v>
      </c>
      <c r="D43" s="92">
        <v>4.72</v>
      </c>
      <c r="E43" s="92">
        <v>2.27</v>
      </c>
      <c r="F43" s="92">
        <v>1.66</v>
      </c>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row>
    <row r="44" spans="1:31">
      <c r="A44" s="38" t="s">
        <v>447</v>
      </c>
      <c r="B44" s="38">
        <v>480.66</v>
      </c>
      <c r="C44" s="38">
        <v>492.8</v>
      </c>
      <c r="D44" s="38">
        <v>505.93</v>
      </c>
      <c r="E44" s="38">
        <v>510.15</v>
      </c>
      <c r="F44" s="38">
        <v>514.57000000000005</v>
      </c>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row>
    <row r="45" spans="1:31">
      <c r="A45" s="92" t="s">
        <v>448</v>
      </c>
      <c r="B45" s="92">
        <v>479.35</v>
      </c>
      <c r="C45" s="92">
        <v>490.7</v>
      </c>
      <c r="D45" s="92">
        <v>504.31</v>
      </c>
      <c r="E45" s="92">
        <v>507.61</v>
      </c>
      <c r="F45" s="92">
        <v>511.04</v>
      </c>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row>
    <row r="46" spans="1:31">
      <c r="A46" s="38" t="s">
        <v>449</v>
      </c>
      <c r="B46" s="38">
        <v>478.93</v>
      </c>
      <c r="C46" s="38">
        <v>489.47</v>
      </c>
      <c r="D46" s="38">
        <v>503.7</v>
      </c>
      <c r="E46" s="38">
        <v>507.33</v>
      </c>
      <c r="F46" s="38">
        <v>507.14</v>
      </c>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row>
    <row r="47" spans="1:31">
      <c r="A47" s="93" t="s">
        <v>450</v>
      </c>
      <c r="B47" s="93" t="s">
        <v>390</v>
      </c>
      <c r="C47" s="93" t="s">
        <v>390</v>
      </c>
      <c r="D47" s="93" t="s">
        <v>390</v>
      </c>
      <c r="E47" s="93" t="s">
        <v>390</v>
      </c>
      <c r="F47" s="93" t="s">
        <v>390</v>
      </c>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row>
    <row r="48" spans="1:31">
      <c r="A48" s="38" t="s">
        <v>451</v>
      </c>
      <c r="B48" s="38">
        <v>82.03</v>
      </c>
      <c r="C48" s="38">
        <v>91.81</v>
      </c>
      <c r="D48" s="38">
        <v>106</v>
      </c>
      <c r="E48" s="38">
        <v>78.5</v>
      </c>
      <c r="F48" s="38">
        <v>17.010000000000002</v>
      </c>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row>
    <row r="49" spans="1:31">
      <c r="A49" s="92" t="s">
        <v>340</v>
      </c>
      <c r="B49" s="92">
        <v>15.18</v>
      </c>
      <c r="C49" s="92">
        <v>15.18</v>
      </c>
      <c r="D49" s="92">
        <v>15.15</v>
      </c>
      <c r="E49" s="92">
        <v>15.9</v>
      </c>
      <c r="F49" s="92">
        <v>16.82</v>
      </c>
      <c r="G49" s="103"/>
      <c r="H49" s="103"/>
      <c r="I49" s="103"/>
      <c r="J49" s="103"/>
      <c r="K49" s="101"/>
      <c r="L49" s="101"/>
      <c r="M49" s="101"/>
      <c r="N49" s="101"/>
      <c r="O49" s="101"/>
      <c r="P49" s="101"/>
      <c r="Q49" s="101"/>
      <c r="R49" s="101"/>
      <c r="S49" s="101"/>
      <c r="T49" s="101"/>
      <c r="U49" s="101"/>
      <c r="V49" s="101"/>
      <c r="W49" s="101"/>
      <c r="X49" s="101"/>
      <c r="Y49" s="101"/>
      <c r="Z49" s="101"/>
      <c r="AA49" s="101"/>
      <c r="AB49" s="101"/>
      <c r="AC49" s="101"/>
      <c r="AD49" s="101"/>
      <c r="AE49" s="101"/>
    </row>
    <row r="50" spans="1:31">
      <c r="A50" s="38" t="s">
        <v>288</v>
      </c>
      <c r="B50" s="38">
        <v>13.09</v>
      </c>
      <c r="C50" s="38">
        <v>13.47</v>
      </c>
      <c r="D50" s="38">
        <v>13.5</v>
      </c>
      <c r="E50" s="38">
        <v>13.76</v>
      </c>
      <c r="F50" s="38">
        <v>13.84</v>
      </c>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row>
    <row r="51" spans="1:31">
      <c r="A51" s="92" t="s">
        <v>452</v>
      </c>
      <c r="B51" s="92">
        <v>6.91</v>
      </c>
      <c r="C51" s="92">
        <v>7.06</v>
      </c>
      <c r="D51" s="92">
        <v>7.14</v>
      </c>
      <c r="E51" s="92">
        <v>7.19</v>
      </c>
      <c r="F51" s="92">
        <v>5.51</v>
      </c>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row>
    <row r="52" spans="1:31">
      <c r="A52" s="38" t="s">
        <v>453</v>
      </c>
      <c r="B52" s="38">
        <v>11.91</v>
      </c>
      <c r="C52" s="38">
        <v>12.79</v>
      </c>
      <c r="D52" s="38">
        <v>13.78</v>
      </c>
      <c r="E52" s="38">
        <v>14.28</v>
      </c>
      <c r="F52" s="38">
        <v>12.09</v>
      </c>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row>
    <row r="53" spans="1:31">
      <c r="A53" s="92" t="s">
        <v>309</v>
      </c>
      <c r="B53" s="92">
        <v>3.15</v>
      </c>
      <c r="C53" s="92">
        <v>3.22</v>
      </c>
      <c r="D53" s="92">
        <v>3.31</v>
      </c>
      <c r="E53" s="92">
        <v>3.38</v>
      </c>
      <c r="F53" s="92">
        <v>2.77</v>
      </c>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row>
    <row r="54" spans="1:31">
      <c r="A54" s="4" t="s">
        <v>454</v>
      </c>
      <c r="B54" s="4"/>
      <c r="C54" s="4"/>
      <c r="D54" s="4"/>
      <c r="E54" s="4"/>
      <c r="F54" s="4"/>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row>
    <row r="55" spans="1:31">
      <c r="A55" s="93" t="s">
        <v>455</v>
      </c>
      <c r="B55" s="93">
        <v>3.15</v>
      </c>
      <c r="C55" s="93">
        <v>3.22</v>
      </c>
      <c r="D55" s="93">
        <v>3.31</v>
      </c>
      <c r="E55" s="93">
        <v>3.38</v>
      </c>
      <c r="F55" s="93">
        <v>2.77</v>
      </c>
      <c r="G55" s="13"/>
      <c r="H55" s="13"/>
      <c r="I55" s="13"/>
      <c r="J55" s="13"/>
      <c r="K55" s="13"/>
      <c r="L55" s="13"/>
      <c r="M55" s="13"/>
      <c r="N55" s="13"/>
      <c r="O55" s="13"/>
      <c r="P55" s="101"/>
      <c r="Q55" s="101"/>
      <c r="R55" s="101"/>
      <c r="S55" s="101"/>
      <c r="T55" s="101"/>
      <c r="U55" s="13"/>
      <c r="V55" s="13"/>
      <c r="W55" s="13"/>
      <c r="X55" s="13"/>
      <c r="Y55" s="13"/>
      <c r="Z55" s="13"/>
      <c r="AA55" s="13"/>
      <c r="AB55" s="13"/>
      <c r="AC55" s="13"/>
      <c r="AD55" s="13"/>
      <c r="AE55" s="13"/>
    </row>
    <row r="56" spans="1:31">
      <c r="A56" s="38" t="s">
        <v>456</v>
      </c>
      <c r="B56" s="38">
        <v>2.84</v>
      </c>
      <c r="C56" s="38">
        <v>3.14</v>
      </c>
      <c r="D56" s="38">
        <v>3.51</v>
      </c>
      <c r="E56" s="38">
        <v>2.4500000000000002</v>
      </c>
      <c r="F56" s="38">
        <v>1.59</v>
      </c>
      <c r="G56" s="101"/>
      <c r="H56" s="101"/>
      <c r="I56" s="101"/>
      <c r="J56" s="101"/>
      <c r="K56" s="101"/>
      <c r="L56" s="101"/>
      <c r="M56" s="101"/>
      <c r="N56" s="101"/>
      <c r="O56" s="101"/>
      <c r="P56" s="13"/>
      <c r="Q56" s="13"/>
      <c r="R56" s="13"/>
      <c r="S56" s="13"/>
      <c r="T56" s="13"/>
      <c r="U56" s="101"/>
      <c r="V56" s="101"/>
      <c r="W56" s="101"/>
      <c r="X56" s="101"/>
      <c r="Y56" s="101"/>
      <c r="Z56" s="101"/>
      <c r="AA56" s="101"/>
      <c r="AB56" s="101"/>
      <c r="AC56" s="101"/>
      <c r="AD56" s="101"/>
      <c r="AE56" s="101"/>
    </row>
    <row r="57" spans="1:31">
      <c r="A57" s="93" t="s">
        <v>457</v>
      </c>
      <c r="B57" s="93">
        <v>8.9499999999999993</v>
      </c>
      <c r="C57" s="93">
        <v>10.119999999999999</v>
      </c>
      <c r="D57" s="93">
        <v>11.62</v>
      </c>
      <c r="E57" s="93">
        <v>8.2799999999999994</v>
      </c>
      <c r="F57" s="93">
        <v>4.3899999999999997</v>
      </c>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row>
    <row r="58" spans="1:31">
      <c r="A58" s="38" t="s">
        <v>458</v>
      </c>
      <c r="B58" s="38">
        <v>76.47</v>
      </c>
      <c r="C58" s="38">
        <v>76.31</v>
      </c>
      <c r="D58" s="38">
        <v>76.55</v>
      </c>
      <c r="E58" s="38">
        <v>78.86</v>
      </c>
      <c r="F58" s="38">
        <v>81.459999999999994</v>
      </c>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row>
    <row r="59" spans="1:31">
      <c r="A59" s="93" t="s">
        <v>459</v>
      </c>
      <c r="B59" s="93">
        <v>6.85</v>
      </c>
      <c r="C59" s="93">
        <v>7.72</v>
      </c>
      <c r="D59" s="93">
        <v>8.89</v>
      </c>
      <c r="E59" s="93">
        <v>6.53</v>
      </c>
      <c r="F59" s="93">
        <v>3.58</v>
      </c>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row>
    <row r="60" spans="1:31">
      <c r="A60" s="38" t="s">
        <v>460</v>
      </c>
      <c r="B60" s="38">
        <v>12.22</v>
      </c>
      <c r="C60" s="38">
        <v>11.33</v>
      </c>
      <c r="D60" s="38">
        <v>12.19</v>
      </c>
      <c r="E60" s="38">
        <v>16.37</v>
      </c>
      <c r="F60" s="38">
        <v>16.59</v>
      </c>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row>
    <row r="61" spans="1:31">
      <c r="A61" s="93" t="s">
        <v>461</v>
      </c>
      <c r="B61" s="93">
        <v>83.64</v>
      </c>
      <c r="C61" s="93">
        <v>87.49</v>
      </c>
      <c r="D61" s="93">
        <v>108.42</v>
      </c>
      <c r="E61" s="93">
        <v>106.87</v>
      </c>
      <c r="F61" s="93">
        <v>59.33</v>
      </c>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row>
    <row r="62" spans="1:31">
      <c r="A62" s="38" t="s">
        <v>462</v>
      </c>
      <c r="B62" s="38">
        <v>42.71</v>
      </c>
      <c r="C62" s="38">
        <v>47.85</v>
      </c>
      <c r="D62" s="38">
        <v>51.45</v>
      </c>
      <c r="E62" s="38">
        <v>30.08</v>
      </c>
      <c r="F62" s="7">
        <v>-22.06</v>
      </c>
      <c r="G62" s="13"/>
      <c r="H62" s="13"/>
      <c r="I62" s="13"/>
      <c r="J62" s="13"/>
      <c r="K62" s="13"/>
      <c r="L62" s="13"/>
      <c r="M62" s="13"/>
      <c r="N62" s="13"/>
      <c r="O62" s="13"/>
      <c r="P62" s="101"/>
      <c r="Q62" s="101"/>
      <c r="R62" s="101"/>
      <c r="S62" s="101"/>
      <c r="T62" s="101"/>
      <c r="U62" s="13"/>
      <c r="V62" s="13"/>
      <c r="W62" s="13"/>
      <c r="X62" s="13"/>
      <c r="Y62" s="13"/>
      <c r="Z62" s="13"/>
      <c r="AA62" s="13"/>
      <c r="AB62" s="13"/>
      <c r="AC62" s="13"/>
      <c r="AD62" s="13"/>
      <c r="AE62" s="13"/>
    </row>
    <row r="63" spans="1:31">
      <c r="A63" s="92" t="s">
        <v>463</v>
      </c>
      <c r="B63" s="92">
        <v>36.4</v>
      </c>
      <c r="C63" s="92">
        <v>41.98</v>
      </c>
      <c r="D63" s="92">
        <v>56.17</v>
      </c>
      <c r="E63" s="92">
        <v>33.43</v>
      </c>
      <c r="F63" s="94">
        <v>-11.69</v>
      </c>
      <c r="G63" s="32"/>
      <c r="H63" s="32"/>
      <c r="I63" s="32"/>
      <c r="J63" s="32"/>
      <c r="K63" s="32"/>
      <c r="L63" s="32"/>
      <c r="M63" s="32"/>
      <c r="N63" s="32"/>
      <c r="O63" s="32"/>
      <c r="P63" s="13"/>
      <c r="Q63" s="13"/>
      <c r="R63" s="13"/>
      <c r="S63" s="13"/>
      <c r="T63" s="13"/>
      <c r="U63" s="32"/>
      <c r="V63" s="32"/>
      <c r="W63" s="32"/>
      <c r="X63" s="32"/>
      <c r="Y63" s="32"/>
      <c r="Z63" s="32"/>
      <c r="AA63" s="32"/>
      <c r="AB63" s="32"/>
      <c r="AC63" s="32"/>
      <c r="AD63" s="32"/>
      <c r="AE63" s="32"/>
    </row>
    <row r="64" spans="1:31">
      <c r="A64" s="38" t="s">
        <v>464</v>
      </c>
      <c r="B64" s="38">
        <v>13.22</v>
      </c>
      <c r="C64" s="38">
        <v>13.77</v>
      </c>
      <c r="D64" s="38">
        <v>14.01</v>
      </c>
      <c r="E64" s="38">
        <v>12.71</v>
      </c>
      <c r="F64" s="38">
        <v>9.14</v>
      </c>
      <c r="G64" s="101"/>
      <c r="H64" s="101"/>
      <c r="I64" s="101"/>
      <c r="J64" s="101"/>
      <c r="K64" s="101"/>
      <c r="L64" s="101"/>
      <c r="M64" s="101"/>
      <c r="N64" s="101"/>
      <c r="O64" s="101"/>
      <c r="P64" s="32"/>
      <c r="Q64" s="32"/>
      <c r="R64" s="32"/>
      <c r="S64" s="32"/>
      <c r="T64" s="32"/>
      <c r="U64" s="101"/>
      <c r="V64" s="101"/>
      <c r="W64" s="101"/>
      <c r="X64" s="101"/>
      <c r="Y64" s="101"/>
      <c r="Z64" s="101"/>
      <c r="AA64" s="101"/>
      <c r="AB64" s="101"/>
      <c r="AC64" s="101"/>
      <c r="AD64" s="101"/>
      <c r="AE64" s="101"/>
    </row>
    <row r="65" spans="1:31">
      <c r="A65" s="92" t="s">
        <v>465</v>
      </c>
      <c r="B65" s="92">
        <v>2.14</v>
      </c>
      <c r="C65" s="92">
        <v>2.52</v>
      </c>
      <c r="D65" s="92">
        <v>2.1</v>
      </c>
      <c r="E65" s="92">
        <v>2.21</v>
      </c>
      <c r="F65" s="92">
        <v>2.13</v>
      </c>
      <c r="G65" s="32"/>
      <c r="H65" s="32"/>
      <c r="I65" s="32"/>
      <c r="J65" s="32"/>
      <c r="K65" s="32"/>
      <c r="L65" s="32"/>
      <c r="M65" s="32"/>
      <c r="N65" s="32"/>
      <c r="O65" s="32"/>
      <c r="P65" s="101"/>
      <c r="Q65" s="101"/>
      <c r="R65" s="101"/>
      <c r="S65" s="101"/>
      <c r="T65" s="101"/>
      <c r="U65" s="32"/>
      <c r="V65" s="32"/>
      <c r="W65" s="32"/>
      <c r="X65" s="32"/>
      <c r="Y65" s="32"/>
      <c r="Z65" s="32"/>
      <c r="AA65" s="32"/>
      <c r="AB65" s="32"/>
      <c r="AC65" s="32"/>
      <c r="AD65" s="32"/>
      <c r="AE65" s="32"/>
    </row>
    <row r="66" spans="1:31">
      <c r="A66" s="4" t="s">
        <v>422</v>
      </c>
      <c r="B66" s="4"/>
      <c r="C66" s="4"/>
      <c r="D66" s="4"/>
      <c r="E66" s="4"/>
      <c r="F66" s="4"/>
      <c r="G66" s="101"/>
      <c r="H66" s="101"/>
      <c r="I66" s="101"/>
      <c r="J66" s="101"/>
      <c r="K66" s="101"/>
      <c r="L66" s="101"/>
      <c r="M66" s="101"/>
      <c r="N66" s="101"/>
      <c r="O66" s="101"/>
      <c r="P66" s="32"/>
      <c r="Q66" s="32"/>
      <c r="R66" s="32"/>
      <c r="S66" s="32"/>
      <c r="T66" s="32"/>
      <c r="U66" s="101"/>
      <c r="V66" s="101"/>
      <c r="W66" s="101"/>
      <c r="X66" s="101"/>
      <c r="Y66" s="101"/>
      <c r="Z66" s="101"/>
      <c r="AA66" s="101"/>
      <c r="AB66" s="101"/>
      <c r="AC66" s="101"/>
      <c r="AD66" s="101"/>
      <c r="AE66" s="101"/>
    </row>
    <row r="67" spans="1:31">
      <c r="A67" s="92" t="s">
        <v>466</v>
      </c>
      <c r="B67" s="95">
        <v>1101947</v>
      </c>
      <c r="C67" s="95">
        <v>1067159</v>
      </c>
      <c r="D67" s="95">
        <v>1047463</v>
      </c>
      <c r="E67" s="95">
        <v>1029093</v>
      </c>
      <c r="F67" s="95">
        <v>941678</v>
      </c>
      <c r="G67" s="32"/>
      <c r="H67" s="32"/>
      <c r="I67" s="32"/>
      <c r="J67" s="32"/>
      <c r="K67" s="32"/>
      <c r="L67" s="32"/>
      <c r="M67" s="32"/>
      <c r="N67" s="32"/>
      <c r="O67" s="32"/>
      <c r="P67" s="101"/>
      <c r="Q67" s="101"/>
      <c r="R67" s="101"/>
      <c r="S67" s="101"/>
      <c r="T67" s="101"/>
      <c r="U67" s="32"/>
      <c r="V67" s="32"/>
      <c r="W67" s="32"/>
      <c r="X67" s="32"/>
      <c r="Y67" s="32"/>
      <c r="Z67" s="32"/>
      <c r="AA67" s="32"/>
      <c r="AB67" s="32"/>
      <c r="AC67" s="32"/>
      <c r="AD67" s="32"/>
      <c r="AE67" s="32"/>
    </row>
    <row r="68" spans="1:31">
      <c r="A68" s="38" t="s">
        <v>467</v>
      </c>
      <c r="B68" s="96">
        <v>23960</v>
      </c>
      <c r="C68" s="96">
        <v>25599</v>
      </c>
      <c r="D68" s="96">
        <v>28135</v>
      </c>
      <c r="E68" s="96">
        <v>19862</v>
      </c>
      <c r="F68" s="96">
        <v>12178</v>
      </c>
      <c r="G68" s="101"/>
      <c r="H68" s="101"/>
      <c r="I68" s="101"/>
      <c r="J68" s="101"/>
      <c r="K68" s="101"/>
      <c r="L68" s="101"/>
      <c r="M68" s="101"/>
      <c r="N68" s="101"/>
      <c r="O68" s="101"/>
      <c r="P68" s="32"/>
      <c r="Q68" s="32"/>
      <c r="R68" s="32"/>
      <c r="S68" s="32"/>
      <c r="T68" s="32"/>
      <c r="U68" s="101"/>
      <c r="V68" s="101"/>
      <c r="W68" s="101"/>
      <c r="X68" s="101"/>
      <c r="Y68" s="101"/>
      <c r="Z68" s="101"/>
      <c r="AA68" s="101"/>
      <c r="AB68" s="101"/>
      <c r="AC68" s="101"/>
      <c r="AD68" s="101"/>
      <c r="AE68" s="101"/>
    </row>
    <row r="69" spans="1:31">
      <c r="A69" s="92" t="s">
        <v>468</v>
      </c>
      <c r="B69" s="95">
        <v>362413</v>
      </c>
      <c r="C69" s="95">
        <v>335338</v>
      </c>
      <c r="D69" s="95">
        <v>334332</v>
      </c>
      <c r="E69" s="95">
        <v>308912</v>
      </c>
      <c r="F69" s="95">
        <v>332198</v>
      </c>
      <c r="G69" s="32"/>
      <c r="H69" s="32"/>
      <c r="I69" s="32"/>
      <c r="J69" s="32"/>
      <c r="K69" s="32"/>
      <c r="L69" s="32"/>
      <c r="M69" s="32"/>
      <c r="N69" s="32"/>
      <c r="O69" s="32"/>
      <c r="P69" s="101"/>
      <c r="Q69" s="101"/>
      <c r="R69" s="101"/>
      <c r="S69" s="101"/>
      <c r="T69" s="101"/>
      <c r="U69" s="32"/>
      <c r="V69" s="32"/>
      <c r="W69" s="32"/>
      <c r="X69" s="32"/>
      <c r="Y69" s="32"/>
      <c r="Z69" s="32"/>
      <c r="AA69" s="32"/>
      <c r="AB69" s="32"/>
      <c r="AC69" s="32"/>
      <c r="AD69" s="32"/>
      <c r="AE69" s="32"/>
    </row>
    <row r="70" spans="1:31">
      <c r="A70" s="38" t="s">
        <v>469</v>
      </c>
      <c r="B70" s="38">
        <v>15.18</v>
      </c>
      <c r="C70" s="38">
        <v>15.18</v>
      </c>
      <c r="D70" s="38">
        <v>15.15</v>
      </c>
      <c r="E70" s="38">
        <v>15.9</v>
      </c>
      <c r="F70" s="38">
        <v>16.82</v>
      </c>
      <c r="G70" s="103"/>
      <c r="H70" s="101"/>
      <c r="I70" s="101"/>
      <c r="J70" s="101"/>
      <c r="K70" s="101"/>
      <c r="L70" s="103"/>
      <c r="M70" s="101"/>
      <c r="N70" s="101"/>
      <c r="O70" s="101"/>
      <c r="P70" s="32"/>
      <c r="Q70" s="32"/>
      <c r="R70" s="32"/>
      <c r="S70" s="32"/>
      <c r="T70" s="32"/>
      <c r="U70" s="101"/>
      <c r="V70" s="101"/>
      <c r="W70" s="101"/>
      <c r="X70" s="101"/>
      <c r="Y70" s="101"/>
      <c r="Z70" s="101"/>
      <c r="AA70" s="101"/>
      <c r="AB70" s="101"/>
      <c r="AC70" s="101"/>
      <c r="AD70" s="101"/>
      <c r="AE70" s="101"/>
    </row>
    <row r="71" spans="1:31">
      <c r="A71" s="92" t="s">
        <v>470</v>
      </c>
      <c r="B71" s="92">
        <v>13.09</v>
      </c>
      <c r="C71" s="92">
        <v>13.47</v>
      </c>
      <c r="D71" s="92">
        <v>13.5</v>
      </c>
      <c r="E71" s="92">
        <v>13.76</v>
      </c>
      <c r="F71" s="92">
        <v>13.84</v>
      </c>
      <c r="G71" s="103"/>
      <c r="H71" s="101"/>
      <c r="I71" s="101"/>
      <c r="J71" s="101"/>
      <c r="K71" s="101"/>
      <c r="L71" s="103"/>
      <c r="M71" s="101"/>
      <c r="N71" s="101"/>
      <c r="O71" s="101"/>
      <c r="P71" s="101"/>
      <c r="Q71" s="101"/>
      <c r="R71" s="101"/>
      <c r="S71" s="101"/>
      <c r="T71" s="101"/>
      <c r="U71" s="101"/>
      <c r="V71" s="101"/>
      <c r="W71" s="101"/>
      <c r="X71" s="101"/>
      <c r="Y71" s="101"/>
      <c r="Z71" s="101"/>
      <c r="AA71" s="101"/>
      <c r="AB71" s="101"/>
      <c r="AC71" s="101"/>
      <c r="AD71" s="101"/>
      <c r="AE71" s="101"/>
    </row>
    <row r="72" spans="1:31">
      <c r="A72" s="38" t="s">
        <v>471</v>
      </c>
      <c r="B72" s="38">
        <v>11.48</v>
      </c>
      <c r="C72" s="38">
        <v>11.42</v>
      </c>
      <c r="D72" s="38">
        <v>11.37</v>
      </c>
      <c r="E72" s="38">
        <v>11.67</v>
      </c>
      <c r="F72" s="38">
        <v>11.88</v>
      </c>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row>
    <row r="73" spans="1:31">
      <c r="A73" s="92" t="s">
        <v>472</v>
      </c>
      <c r="B73" s="92">
        <v>3.15</v>
      </c>
      <c r="C73" s="92">
        <v>3.22</v>
      </c>
      <c r="D73" s="92">
        <v>3.31</v>
      </c>
      <c r="E73" s="92">
        <v>3.38</v>
      </c>
      <c r="F73" s="92">
        <v>2.77</v>
      </c>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row>
    <row r="74" spans="1:31">
      <c r="A74" s="38" t="s">
        <v>473</v>
      </c>
      <c r="B74" s="38">
        <v>29.18</v>
      </c>
      <c r="C74" s="38">
        <v>41.36</v>
      </c>
      <c r="D74" s="38">
        <v>25.37</v>
      </c>
      <c r="E74" s="38">
        <v>36.65</v>
      </c>
      <c r="F74" s="38">
        <v>24.59</v>
      </c>
      <c r="G74" s="13"/>
      <c r="H74" s="13"/>
      <c r="I74" s="13"/>
      <c r="J74" s="13"/>
      <c r="K74" s="13"/>
      <c r="L74" s="13"/>
      <c r="M74" s="13"/>
      <c r="N74" s="13"/>
      <c r="O74" s="13"/>
      <c r="P74" s="101"/>
      <c r="Q74" s="101"/>
      <c r="R74" s="101"/>
      <c r="S74" s="101"/>
      <c r="T74" s="101"/>
      <c r="U74" s="13"/>
      <c r="V74" s="13"/>
      <c r="W74" s="13"/>
      <c r="X74" s="13"/>
      <c r="Y74" s="13"/>
      <c r="Z74" s="13"/>
      <c r="AA74" s="13"/>
      <c r="AB74" s="13"/>
      <c r="AC74" s="13"/>
      <c r="AD74" s="13"/>
      <c r="AE74" s="13"/>
    </row>
    <row r="75" spans="1:31">
      <c r="A75" s="93" t="s">
        <v>474</v>
      </c>
      <c r="B75" s="93" t="s">
        <v>390</v>
      </c>
      <c r="C75" s="93" t="s">
        <v>390</v>
      </c>
      <c r="D75" s="93" t="s">
        <v>390</v>
      </c>
      <c r="E75" s="93" t="s">
        <v>390</v>
      </c>
      <c r="F75" s="93" t="s">
        <v>390</v>
      </c>
      <c r="G75" s="104"/>
      <c r="H75" s="104"/>
      <c r="I75" s="104"/>
      <c r="J75" s="104"/>
      <c r="K75" s="104"/>
      <c r="L75" s="104"/>
      <c r="M75" s="104"/>
      <c r="N75" s="104"/>
      <c r="O75" s="104"/>
      <c r="P75" s="13"/>
      <c r="Q75" s="13"/>
      <c r="R75" s="13"/>
      <c r="S75" s="13"/>
      <c r="T75" s="13"/>
      <c r="U75" s="104"/>
      <c r="V75" s="104"/>
      <c r="W75" s="104"/>
      <c r="X75" s="104"/>
      <c r="Y75" s="104"/>
      <c r="Z75" s="104"/>
      <c r="AA75" s="104"/>
      <c r="AB75" s="104"/>
      <c r="AC75" s="104"/>
      <c r="AD75" s="104"/>
      <c r="AE75" s="104"/>
    </row>
    <row r="76" spans="1:31">
      <c r="A76" s="4" t="s">
        <v>475</v>
      </c>
      <c r="B76" s="4">
        <v>27.88</v>
      </c>
      <c r="C76" s="4">
        <v>27.1</v>
      </c>
      <c r="D76" s="4">
        <v>27.04</v>
      </c>
      <c r="E76" s="4">
        <v>26.52</v>
      </c>
      <c r="F76" s="4">
        <v>26.38</v>
      </c>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row>
    <row r="77" spans="1:31">
      <c r="A77" s="92" t="s">
        <v>476</v>
      </c>
      <c r="B77" s="92">
        <v>24.04</v>
      </c>
      <c r="C77" s="92">
        <v>24.05</v>
      </c>
      <c r="D77" s="92">
        <v>24.09</v>
      </c>
      <c r="E77" s="92">
        <v>22.95</v>
      </c>
      <c r="F77" s="92">
        <v>21.7</v>
      </c>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row>
    <row r="78" spans="1:31">
      <c r="A78" s="4" t="s">
        <v>477</v>
      </c>
      <c r="B78" s="4">
        <v>51.92</v>
      </c>
      <c r="C78" s="4">
        <v>51.15</v>
      </c>
      <c r="D78" s="4">
        <v>51.12</v>
      </c>
      <c r="E78" s="4">
        <v>49.48</v>
      </c>
      <c r="F78" s="4">
        <v>48.08</v>
      </c>
      <c r="G78" s="101"/>
      <c r="H78" s="101"/>
      <c r="I78" s="101"/>
      <c r="J78" s="101"/>
      <c r="K78" s="101"/>
      <c r="L78" s="101"/>
      <c r="M78" s="101"/>
      <c r="N78" s="101"/>
      <c r="O78" s="101"/>
      <c r="P78" s="104"/>
      <c r="Q78" s="104"/>
      <c r="R78" s="104"/>
      <c r="S78" s="104"/>
      <c r="T78" s="104"/>
      <c r="U78" s="101"/>
      <c r="V78" s="101"/>
      <c r="W78" s="101"/>
      <c r="X78" s="101"/>
      <c r="Y78" s="101"/>
      <c r="Z78" s="101"/>
      <c r="AA78" s="101"/>
      <c r="AB78" s="101"/>
      <c r="AC78" s="101"/>
      <c r="AD78" s="101"/>
      <c r="AE78" s="101"/>
    </row>
    <row r="79" spans="1:31">
      <c r="A79" s="92" t="s">
        <v>478</v>
      </c>
      <c r="B79" s="92">
        <v>31.8</v>
      </c>
      <c r="C79" s="92">
        <v>31.95</v>
      </c>
      <c r="D79" s="92">
        <v>32.119999999999997</v>
      </c>
      <c r="E79" s="92">
        <v>31.26</v>
      </c>
      <c r="F79" s="92">
        <v>30.72</v>
      </c>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row>
    <row r="80" spans="1:31">
      <c r="A80" s="38" t="s">
        <v>479</v>
      </c>
      <c r="B80" s="38">
        <v>20.12</v>
      </c>
      <c r="C80" s="38">
        <v>19.2</v>
      </c>
      <c r="D80" s="38">
        <v>19.010000000000002</v>
      </c>
      <c r="E80" s="38">
        <v>18.21</v>
      </c>
      <c r="F80" s="38">
        <v>17.36</v>
      </c>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row>
    <row r="81" spans="1:31">
      <c r="A81" s="93" t="s">
        <v>480</v>
      </c>
      <c r="B81" s="93" t="s">
        <v>390</v>
      </c>
      <c r="C81" s="93" t="s">
        <v>390</v>
      </c>
      <c r="D81" s="93" t="s">
        <v>390</v>
      </c>
      <c r="E81" s="93" t="s">
        <v>390</v>
      </c>
      <c r="F81" s="93" t="s">
        <v>390</v>
      </c>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row>
    <row r="82" spans="1:31">
      <c r="A82" s="38" t="s">
        <v>481</v>
      </c>
      <c r="B82" s="38">
        <v>1.3</v>
      </c>
      <c r="C82" s="38">
        <v>1.2</v>
      </c>
      <c r="D82" s="38">
        <v>1.37</v>
      </c>
      <c r="E82" s="38">
        <v>1.24</v>
      </c>
      <c r="F82" s="38">
        <v>1.33</v>
      </c>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row>
    <row r="83" spans="1:31">
      <c r="A83" s="92" t="s">
        <v>482</v>
      </c>
      <c r="B83" s="92">
        <v>0.75</v>
      </c>
      <c r="C83" s="92">
        <v>0.68</v>
      </c>
      <c r="D83" s="92">
        <v>0.8</v>
      </c>
      <c r="E83" s="92">
        <v>0.68</v>
      </c>
      <c r="F83" s="92">
        <v>0.78</v>
      </c>
      <c r="G83" s="13"/>
      <c r="H83" s="13"/>
      <c r="I83" s="13"/>
      <c r="J83" s="13"/>
      <c r="K83" s="13"/>
      <c r="L83" s="13"/>
      <c r="M83" s="13"/>
      <c r="N83" s="13"/>
      <c r="O83" s="13"/>
      <c r="P83" s="101"/>
      <c r="Q83" s="101"/>
      <c r="R83" s="101"/>
      <c r="S83" s="101"/>
      <c r="T83" s="101"/>
      <c r="U83" s="13"/>
      <c r="V83" s="13"/>
      <c r="W83" s="13"/>
      <c r="X83" s="13"/>
      <c r="Y83" s="13"/>
      <c r="Z83" s="13"/>
      <c r="AA83" s="13"/>
      <c r="AB83" s="13"/>
      <c r="AC83" s="13"/>
      <c r="AD83" s="13"/>
      <c r="AE83" s="13"/>
    </row>
    <row r="84" spans="1:31">
      <c r="A84" s="38" t="s">
        <v>483</v>
      </c>
      <c r="B84" s="38">
        <v>0.13</v>
      </c>
      <c r="C84" s="38">
        <v>0.08</v>
      </c>
      <c r="D84" s="38">
        <v>0.12</v>
      </c>
      <c r="E84" s="38">
        <v>0.06</v>
      </c>
      <c r="F84" s="38">
        <v>0.18</v>
      </c>
      <c r="G84" s="32"/>
      <c r="H84" s="32"/>
      <c r="I84" s="32"/>
      <c r="J84" s="32"/>
      <c r="K84" s="32"/>
      <c r="L84" s="32"/>
      <c r="M84" s="32"/>
      <c r="N84" s="32"/>
      <c r="O84" s="32"/>
      <c r="P84" s="13"/>
      <c r="Q84" s="13"/>
      <c r="R84" s="13"/>
      <c r="S84" s="13"/>
      <c r="T84" s="13"/>
      <c r="U84" s="32"/>
      <c r="V84" s="32"/>
      <c r="W84" s="32"/>
      <c r="X84" s="32"/>
      <c r="Y84" s="32"/>
      <c r="Z84" s="32"/>
      <c r="AA84" s="32"/>
      <c r="AB84" s="32"/>
      <c r="AC84" s="32"/>
      <c r="AD84" s="32"/>
      <c r="AE84" s="32"/>
    </row>
    <row r="85" spans="1:31">
      <c r="A85" s="92" t="s">
        <v>484</v>
      </c>
      <c r="B85" s="92">
        <v>9.84</v>
      </c>
      <c r="C85" s="92">
        <v>6.9</v>
      </c>
      <c r="D85" s="92">
        <v>8.51</v>
      </c>
      <c r="E85" s="92">
        <v>4.8099999999999996</v>
      </c>
      <c r="F85" s="92">
        <v>13.66</v>
      </c>
      <c r="G85" s="101"/>
      <c r="H85" s="101"/>
      <c r="I85" s="101"/>
      <c r="J85" s="101"/>
      <c r="K85" s="101"/>
      <c r="L85" s="101"/>
      <c r="M85" s="101"/>
      <c r="N85" s="101"/>
      <c r="O85" s="101"/>
      <c r="P85" s="32"/>
      <c r="Q85" s="32"/>
      <c r="R85" s="32"/>
      <c r="S85" s="32"/>
      <c r="T85" s="32"/>
      <c r="U85" s="101"/>
      <c r="V85" s="101"/>
      <c r="W85" s="101"/>
      <c r="X85" s="101"/>
      <c r="Y85" s="101"/>
      <c r="Z85" s="101"/>
      <c r="AA85" s="101"/>
      <c r="AB85" s="101"/>
      <c r="AC85" s="101"/>
      <c r="AD85" s="101"/>
      <c r="AE85" s="101"/>
    </row>
    <row r="86" spans="1:31">
      <c r="A86" s="38" t="s">
        <v>485</v>
      </c>
      <c r="B86" s="38">
        <v>27.37</v>
      </c>
      <c r="C86" s="38">
        <v>27.54</v>
      </c>
      <c r="D86" s="38">
        <v>39.01</v>
      </c>
      <c r="E86" s="38">
        <v>22.86</v>
      </c>
      <c r="F86" s="38">
        <v>17.7</v>
      </c>
      <c r="G86" s="32"/>
      <c r="H86" s="32"/>
      <c r="I86" s="32"/>
      <c r="J86" s="32"/>
      <c r="K86" s="32"/>
      <c r="L86" s="32"/>
      <c r="M86" s="32"/>
      <c r="N86" s="32"/>
      <c r="O86" s="32"/>
      <c r="P86" s="101"/>
      <c r="Q86" s="101"/>
      <c r="R86" s="101"/>
      <c r="S86" s="101"/>
      <c r="T86" s="101"/>
      <c r="U86" s="32"/>
      <c r="V86" s="32"/>
      <c r="W86" s="32"/>
      <c r="X86" s="32"/>
      <c r="Y86" s="32"/>
      <c r="Z86" s="32"/>
      <c r="AA86" s="32"/>
      <c r="AB86" s="32"/>
      <c r="AC86" s="32"/>
      <c r="AD86" s="32"/>
      <c r="AE86" s="32"/>
    </row>
    <row r="87" spans="1:31">
      <c r="A87" s="93" t="s">
        <v>486</v>
      </c>
      <c r="B87" s="93" t="s">
        <v>390</v>
      </c>
      <c r="C87" s="93" t="s">
        <v>390</v>
      </c>
      <c r="D87" s="93" t="s">
        <v>390</v>
      </c>
      <c r="E87" s="93" t="s">
        <v>390</v>
      </c>
      <c r="F87" s="93" t="s">
        <v>390</v>
      </c>
      <c r="G87" s="101"/>
      <c r="H87" s="101"/>
      <c r="I87" s="101"/>
      <c r="J87" s="101"/>
      <c r="K87" s="101"/>
      <c r="L87" s="101"/>
      <c r="M87" s="101"/>
      <c r="N87" s="101"/>
      <c r="O87" s="101"/>
      <c r="P87" s="32"/>
      <c r="Q87" s="32"/>
      <c r="R87" s="32"/>
      <c r="S87" s="32"/>
      <c r="T87" s="32"/>
      <c r="U87" s="101"/>
      <c r="V87" s="101"/>
      <c r="W87" s="101"/>
      <c r="X87" s="101"/>
      <c r="Y87" s="101"/>
      <c r="Z87" s="101"/>
      <c r="AA87" s="101"/>
      <c r="AB87" s="101"/>
      <c r="AC87" s="101"/>
      <c r="AD87" s="101"/>
      <c r="AE87" s="101"/>
    </row>
    <row r="88" spans="1:31">
      <c r="A88" s="38" t="s">
        <v>487</v>
      </c>
      <c r="B88" s="38">
        <v>2.71</v>
      </c>
      <c r="C88" s="38">
        <v>2.63</v>
      </c>
      <c r="D88" s="38">
        <v>2.64</v>
      </c>
      <c r="E88" s="38">
        <v>2.89</v>
      </c>
      <c r="F88" s="38">
        <v>3.38</v>
      </c>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row>
    <row r="89" spans="1:31">
      <c r="A89" s="92" t="s">
        <v>438</v>
      </c>
      <c r="B89" s="92">
        <v>3.73</v>
      </c>
      <c r="C89" s="92">
        <v>3.5</v>
      </c>
      <c r="D89" s="92">
        <v>3.54</v>
      </c>
      <c r="E89" s="92">
        <v>3.91</v>
      </c>
      <c r="F89" s="92">
        <v>4.3899999999999997</v>
      </c>
      <c r="G89" s="13"/>
      <c r="H89" s="13"/>
      <c r="I89" s="13"/>
      <c r="J89" s="13"/>
      <c r="K89" s="13"/>
      <c r="L89" s="13"/>
      <c r="M89" s="13"/>
      <c r="N89" s="13"/>
      <c r="O89" s="13"/>
      <c r="P89" s="101"/>
      <c r="Q89" s="101"/>
      <c r="R89" s="101"/>
      <c r="S89" s="101"/>
      <c r="T89" s="101"/>
      <c r="U89" s="13"/>
      <c r="V89" s="13"/>
      <c r="W89" s="13"/>
      <c r="X89" s="13"/>
      <c r="Y89" s="13"/>
      <c r="Z89" s="13"/>
      <c r="AA89" s="13"/>
      <c r="AB89" s="13"/>
      <c r="AC89" s="13"/>
      <c r="AD89" s="13"/>
      <c r="AE89" s="13"/>
    </row>
    <row r="90" spans="1:31">
      <c r="A90" s="38" t="s">
        <v>488</v>
      </c>
      <c r="B90" s="38">
        <v>2.98</v>
      </c>
      <c r="C90" s="38">
        <v>2.8</v>
      </c>
      <c r="D90" s="38">
        <v>2.87</v>
      </c>
      <c r="E90" s="38">
        <v>3.03</v>
      </c>
      <c r="F90" s="38">
        <v>3.86</v>
      </c>
      <c r="G90" s="101"/>
      <c r="H90" s="101"/>
      <c r="I90" s="101"/>
      <c r="J90" s="101"/>
      <c r="K90" s="101"/>
      <c r="L90" s="101"/>
      <c r="M90" s="101"/>
      <c r="N90" s="101"/>
      <c r="O90" s="101"/>
      <c r="P90" s="13"/>
      <c r="Q90" s="13"/>
      <c r="R90" s="13"/>
      <c r="S90" s="13"/>
      <c r="T90" s="13"/>
      <c r="U90" s="101"/>
      <c r="V90" s="101"/>
      <c r="W90" s="101"/>
      <c r="X90" s="101"/>
      <c r="Y90" s="101"/>
      <c r="Z90" s="101"/>
      <c r="AA90" s="101"/>
      <c r="AB90" s="101"/>
      <c r="AC90" s="101"/>
      <c r="AD90" s="101"/>
      <c r="AE90" s="101"/>
    </row>
    <row r="91" spans="1:31">
      <c r="A91" s="92" t="s">
        <v>489</v>
      </c>
      <c r="B91" s="92">
        <v>5.95</v>
      </c>
      <c r="C91" s="92">
        <v>5.41</v>
      </c>
      <c r="D91" s="92">
        <v>6.32</v>
      </c>
      <c r="E91" s="92">
        <v>5.68</v>
      </c>
      <c r="F91" s="92">
        <v>4.3899999999999997</v>
      </c>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row>
    <row r="92" spans="1:31">
      <c r="A92" s="38" t="s">
        <v>490</v>
      </c>
      <c r="B92" s="38">
        <v>7.82</v>
      </c>
      <c r="C92" s="38">
        <v>7.06</v>
      </c>
      <c r="D92" s="38">
        <v>8.1300000000000008</v>
      </c>
      <c r="E92" s="38">
        <v>7.49</v>
      </c>
      <c r="F92" s="38">
        <v>6.28</v>
      </c>
      <c r="G92" s="101"/>
      <c r="H92" s="101"/>
      <c r="I92" s="101"/>
      <c r="J92" s="101"/>
      <c r="K92" s="101"/>
      <c r="L92" s="101"/>
      <c r="M92" s="101"/>
      <c r="N92" s="101"/>
      <c r="O92" s="101"/>
      <c r="P92" s="101"/>
      <c r="Q92" s="101"/>
      <c r="R92" s="101"/>
      <c r="S92" s="101"/>
      <c r="T92" s="101"/>
      <c r="U92" s="101"/>
      <c r="V92" s="101"/>
      <c r="W92" s="101"/>
      <c r="X92" s="101"/>
      <c r="Y92" s="101"/>
      <c r="Z92" s="101"/>
      <c r="AA92" s="101"/>
      <c r="AB92" s="101"/>
      <c r="AC92" s="102"/>
      <c r="AD92" s="101"/>
      <c r="AE92" s="101"/>
    </row>
    <row r="93" spans="1:31">
      <c r="A93" s="92" t="s">
        <v>491</v>
      </c>
      <c r="B93" s="92">
        <v>5.95</v>
      </c>
      <c r="C93" s="92">
        <v>5.41</v>
      </c>
      <c r="D93" s="92">
        <v>6.32</v>
      </c>
      <c r="E93" s="92">
        <v>5.68</v>
      </c>
      <c r="F93" s="92">
        <v>4.3899999999999997</v>
      </c>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row>
    <row r="94" spans="1:31">
      <c r="A94" s="38" t="s">
        <v>492</v>
      </c>
      <c r="B94" s="38">
        <v>4.5</v>
      </c>
      <c r="C94" s="38">
        <v>4.13</v>
      </c>
      <c r="D94" s="38">
        <v>6.2</v>
      </c>
      <c r="E94" s="38">
        <v>3.94</v>
      </c>
      <c r="F94" s="38">
        <v>2.94</v>
      </c>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row>
    <row r="95" spans="1:31">
      <c r="A95" s="92" t="s">
        <v>493</v>
      </c>
      <c r="B95" s="92">
        <v>3.07</v>
      </c>
      <c r="C95" s="92">
        <v>3.12</v>
      </c>
      <c r="D95" s="92">
        <v>3.24</v>
      </c>
      <c r="E95" s="92">
        <v>2.7</v>
      </c>
      <c r="F95" s="92">
        <v>2.14</v>
      </c>
      <c r="G95" s="13"/>
      <c r="H95" s="13"/>
      <c r="I95" s="13"/>
      <c r="J95" s="13"/>
      <c r="K95" s="13"/>
      <c r="L95" s="13"/>
      <c r="M95" s="13"/>
      <c r="N95" s="13"/>
      <c r="O95" s="13"/>
      <c r="P95" s="101"/>
      <c r="Q95" s="101"/>
      <c r="R95" s="101"/>
      <c r="S95" s="101"/>
      <c r="T95" s="101"/>
      <c r="U95" s="13"/>
      <c r="V95" s="13"/>
      <c r="W95" s="13"/>
      <c r="X95" s="13"/>
      <c r="Y95" s="13"/>
      <c r="Z95" s="13"/>
      <c r="AA95" s="13"/>
      <c r="AB95" s="13"/>
      <c r="AC95" s="13"/>
      <c r="AD95" s="13"/>
      <c r="AE95" s="13"/>
    </row>
    <row r="96" spans="1:31">
      <c r="A96" s="38" t="s">
        <v>494</v>
      </c>
      <c r="B96" s="38">
        <v>3</v>
      </c>
      <c r="C96" s="38">
        <v>2.74</v>
      </c>
      <c r="D96" s="38">
        <v>3.03</v>
      </c>
      <c r="E96" s="38">
        <v>3.01</v>
      </c>
      <c r="F96" s="38">
        <v>3.92</v>
      </c>
      <c r="G96" s="101"/>
      <c r="H96" s="101"/>
      <c r="I96" s="101"/>
      <c r="J96" s="101"/>
      <c r="K96" s="101"/>
      <c r="L96" s="101"/>
      <c r="M96" s="101"/>
      <c r="N96" s="101"/>
      <c r="O96" s="101"/>
      <c r="P96" s="13"/>
      <c r="Q96" s="13"/>
      <c r="R96" s="13"/>
      <c r="S96" s="13"/>
      <c r="T96" s="13"/>
      <c r="U96" s="101"/>
      <c r="V96" s="101"/>
      <c r="W96" s="101"/>
      <c r="X96" s="101"/>
      <c r="Y96" s="101"/>
      <c r="Z96" s="101"/>
      <c r="AA96" s="101"/>
      <c r="AB96" s="101"/>
      <c r="AC96" s="102"/>
      <c r="AD96" s="101"/>
      <c r="AE96" s="101"/>
    </row>
    <row r="97" spans="1:31">
      <c r="A97" s="92" t="s">
        <v>495</v>
      </c>
      <c r="B97" s="92">
        <v>4.41</v>
      </c>
      <c r="C97" s="92">
        <v>4.1100000000000003</v>
      </c>
      <c r="D97" s="92">
        <v>3.7</v>
      </c>
      <c r="E97" s="92">
        <v>4.29</v>
      </c>
      <c r="F97" s="92">
        <v>5.19</v>
      </c>
      <c r="G97" s="101"/>
      <c r="H97" s="101"/>
      <c r="I97" s="101"/>
      <c r="J97" s="101"/>
      <c r="K97" s="101"/>
      <c r="L97" s="101"/>
      <c r="M97" s="101"/>
      <c r="N97" s="101"/>
      <c r="O97" s="101"/>
      <c r="P97" s="101"/>
      <c r="Q97" s="101"/>
      <c r="R97" s="101"/>
      <c r="S97" s="101"/>
      <c r="T97" s="101"/>
      <c r="U97" s="101"/>
      <c r="V97" s="101"/>
      <c r="W97" s="101"/>
      <c r="X97" s="101"/>
      <c r="Y97" s="101"/>
      <c r="Z97" s="101"/>
      <c r="AA97" s="101"/>
      <c r="AB97" s="101"/>
      <c r="AC97" s="102"/>
      <c r="AD97" s="101"/>
      <c r="AE97" s="101"/>
    </row>
    <row r="98" spans="1:31">
      <c r="A98" s="38" t="s">
        <v>496</v>
      </c>
      <c r="B98" s="38">
        <v>4.3899999999999997</v>
      </c>
      <c r="C98" s="38">
        <v>3.94</v>
      </c>
      <c r="D98" s="38">
        <v>3.93</v>
      </c>
      <c r="E98" s="38">
        <v>4.18</v>
      </c>
      <c r="F98" s="38">
        <v>5.58</v>
      </c>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row>
    <row r="99" spans="1:31">
      <c r="A99" s="92" t="s">
        <v>497</v>
      </c>
      <c r="B99" s="92">
        <v>0.12</v>
      </c>
      <c r="C99" s="92">
        <v>0.13</v>
      </c>
      <c r="D99" s="92">
        <v>0.18</v>
      </c>
      <c r="E99" s="92">
        <v>0.1</v>
      </c>
      <c r="F99" s="92">
        <v>7.0000000000000007E-2</v>
      </c>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row>
    <row r="100" spans="1:31">
      <c r="A100" s="38" t="s">
        <v>498</v>
      </c>
      <c r="B100" s="38">
        <v>0.18</v>
      </c>
      <c r="C100" s="38">
        <v>0.19</v>
      </c>
      <c r="D100" s="38">
        <v>0.25</v>
      </c>
      <c r="E100" s="38">
        <v>0.16</v>
      </c>
      <c r="F100" s="38">
        <v>0.11</v>
      </c>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row>
    <row r="101" spans="1:31">
      <c r="A101" s="92" t="s">
        <v>499</v>
      </c>
      <c r="B101" s="92">
        <v>3.92</v>
      </c>
      <c r="C101" s="92">
        <v>3.66</v>
      </c>
      <c r="D101" s="92">
        <v>3.69</v>
      </c>
      <c r="E101" s="92">
        <v>4</v>
      </c>
      <c r="F101" s="92">
        <v>5.52</v>
      </c>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row>
    <row r="102" spans="1:31">
      <c r="A102" s="38" t="s">
        <v>500</v>
      </c>
      <c r="B102" s="38">
        <v>3.56</v>
      </c>
      <c r="C102" s="38">
        <v>3.43</v>
      </c>
      <c r="D102" s="38">
        <v>3.4</v>
      </c>
      <c r="E102" s="38">
        <v>3.82</v>
      </c>
      <c r="F102" s="38">
        <v>4.84</v>
      </c>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row>
    <row r="103" spans="1:31">
      <c r="A103" s="92" t="s">
        <v>501</v>
      </c>
      <c r="B103" s="92">
        <v>6.32</v>
      </c>
      <c r="C103" s="92">
        <v>5.78</v>
      </c>
      <c r="D103" s="92">
        <v>6.53</v>
      </c>
      <c r="E103" s="92">
        <v>5.93</v>
      </c>
      <c r="F103" s="92">
        <v>5.21</v>
      </c>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row>
    <row r="104" spans="1:31">
      <c r="A104" s="4" t="s">
        <v>429</v>
      </c>
      <c r="B104" s="4"/>
      <c r="C104" s="4"/>
      <c r="D104" s="4"/>
      <c r="E104" s="4"/>
      <c r="F104" s="4"/>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row>
    <row r="105" spans="1:31">
      <c r="A105" s="92" t="s">
        <v>502</v>
      </c>
      <c r="B105" s="92">
        <v>599.04</v>
      </c>
      <c r="C105" s="92">
        <v>612.86</v>
      </c>
      <c r="D105" s="92">
        <v>531</v>
      </c>
      <c r="E105" s="92">
        <v>764.57</v>
      </c>
      <c r="F105" s="92">
        <v>921.53</v>
      </c>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2"/>
      <c r="AD105" s="101"/>
      <c r="AE105" s="101"/>
    </row>
    <row r="106" spans="1:31">
      <c r="A106" s="38" t="s">
        <v>503</v>
      </c>
      <c r="B106" s="38">
        <v>79.27</v>
      </c>
      <c r="C106" s="38">
        <v>78.599999999999994</v>
      </c>
      <c r="D106" s="38">
        <v>83.04</v>
      </c>
      <c r="E106" s="38">
        <v>83.04</v>
      </c>
      <c r="F106" s="38">
        <v>86.13</v>
      </c>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row>
    <row r="107" spans="1:31">
      <c r="A107" s="92" t="s">
        <v>504</v>
      </c>
      <c r="B107" s="92">
        <v>50.31</v>
      </c>
      <c r="C107" s="92">
        <v>48.75</v>
      </c>
      <c r="D107" s="92">
        <v>51.6</v>
      </c>
      <c r="E107" s="92">
        <v>49.73</v>
      </c>
      <c r="F107" s="92">
        <v>52.52</v>
      </c>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row>
    <row r="108" spans="1:31">
      <c r="A108" s="38" t="s">
        <v>431</v>
      </c>
      <c r="B108" s="38">
        <v>55.07</v>
      </c>
      <c r="C108" s="38">
        <v>54.07</v>
      </c>
      <c r="D108" s="38">
        <v>52.42</v>
      </c>
      <c r="E108" s="38">
        <v>53.38</v>
      </c>
      <c r="F108" s="38">
        <v>55.27</v>
      </c>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row>
    <row r="109" spans="1:31">
      <c r="A109" s="92" t="s">
        <v>505</v>
      </c>
      <c r="B109" s="92">
        <v>602.15</v>
      </c>
      <c r="C109" s="92">
        <v>640.37</v>
      </c>
      <c r="D109" s="92">
        <v>499.46</v>
      </c>
      <c r="E109" s="92">
        <v>785.86</v>
      </c>
      <c r="F109" s="92">
        <v>857.35</v>
      </c>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row>
    <row r="110" spans="1:31">
      <c r="A110" s="38" t="s">
        <v>506</v>
      </c>
      <c r="B110" s="38">
        <v>655.67</v>
      </c>
      <c r="C110" s="38">
        <v>679.74</v>
      </c>
      <c r="D110" s="38">
        <v>539.48</v>
      </c>
      <c r="E110" s="38">
        <v>820.69</v>
      </c>
      <c r="F110" s="38">
        <v>969.89</v>
      </c>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2"/>
      <c r="AD110" s="101"/>
      <c r="AE110" s="101"/>
    </row>
    <row r="111" spans="1:31">
      <c r="A111" s="92" t="s">
        <v>507</v>
      </c>
      <c r="B111" s="92">
        <v>79.680000000000007</v>
      </c>
      <c r="C111" s="92">
        <v>82.13</v>
      </c>
      <c r="D111" s="92">
        <v>78.099999999999994</v>
      </c>
      <c r="E111" s="92">
        <v>85.36</v>
      </c>
      <c r="F111" s="92">
        <v>80.13</v>
      </c>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row>
    <row r="112" spans="1:31">
      <c r="A112" s="38" t="s">
        <v>508</v>
      </c>
      <c r="B112" s="38">
        <v>86.77</v>
      </c>
      <c r="C112" s="38">
        <v>87.18</v>
      </c>
      <c r="D112" s="38">
        <v>84.36</v>
      </c>
      <c r="E112" s="38">
        <v>89.14</v>
      </c>
      <c r="F112" s="38">
        <v>90.65</v>
      </c>
      <c r="G112" s="13"/>
      <c r="H112" s="13"/>
      <c r="I112" s="13"/>
      <c r="J112" s="13"/>
      <c r="K112" s="13"/>
      <c r="L112" s="13"/>
      <c r="M112" s="13"/>
      <c r="N112" s="13"/>
      <c r="O112" s="13"/>
      <c r="P112" s="101"/>
      <c r="Q112" s="101"/>
      <c r="R112" s="101"/>
      <c r="S112" s="101"/>
      <c r="T112" s="101"/>
      <c r="U112" s="13"/>
      <c r="V112" s="13"/>
      <c r="W112" s="13"/>
      <c r="X112" s="13"/>
      <c r="Y112" s="13"/>
      <c r="Z112" s="13"/>
      <c r="AA112" s="13"/>
      <c r="AB112" s="13"/>
      <c r="AC112" s="13"/>
      <c r="AD112" s="13"/>
      <c r="AE112" s="13"/>
    </row>
    <row r="113" spans="1:33">
      <c r="A113" s="660" t="s">
        <v>509</v>
      </c>
      <c r="B113" s="660"/>
      <c r="C113" s="38"/>
      <c r="D113" s="38"/>
      <c r="E113" s="38"/>
      <c r="F113" s="38"/>
      <c r="G113" s="101"/>
      <c r="H113" s="101"/>
      <c r="I113" s="101"/>
      <c r="J113" s="101"/>
      <c r="K113" s="101"/>
      <c r="L113" s="101"/>
      <c r="M113" s="101"/>
      <c r="N113" s="101"/>
      <c r="O113" s="101"/>
      <c r="P113" s="13"/>
      <c r="Q113" s="13"/>
      <c r="R113" s="13"/>
      <c r="S113" s="13"/>
      <c r="T113" s="13"/>
      <c r="U113" s="101"/>
      <c r="V113" s="101"/>
      <c r="W113" s="101"/>
      <c r="X113" s="101"/>
      <c r="Y113" s="101"/>
      <c r="Z113" s="101"/>
      <c r="AA113" s="101"/>
      <c r="AB113" s="101"/>
      <c r="AC113" s="101"/>
      <c r="AD113" s="101"/>
      <c r="AE113" s="101"/>
    </row>
    <row r="114" spans="1:33">
      <c r="P114" s="101"/>
      <c r="Q114" s="101"/>
      <c r="R114" s="101"/>
      <c r="S114" s="101"/>
      <c r="T114" s="101"/>
    </row>
    <row r="115" spans="1:33">
      <c r="A115" s="53"/>
      <c r="B115" s="54"/>
      <c r="C115" s="54"/>
      <c r="D115" s="54"/>
      <c r="E115" s="54"/>
      <c r="F115" s="54"/>
      <c r="G115" s="54"/>
      <c r="H115" s="54"/>
      <c r="I115" s="54"/>
      <c r="J115" s="54"/>
      <c r="K115" s="54"/>
      <c r="L115" s="54"/>
      <c r="M115" s="54"/>
      <c r="N115" s="50"/>
      <c r="O115" s="50"/>
      <c r="U115" s="50"/>
      <c r="V115" s="50"/>
      <c r="W115" s="50"/>
      <c r="X115" s="50"/>
      <c r="Y115" s="50"/>
      <c r="Z115" s="50"/>
      <c r="AA115" s="50"/>
      <c r="AB115" s="50"/>
      <c r="AC115" s="50"/>
      <c r="AD115" s="50"/>
      <c r="AE115" s="50"/>
    </row>
    <row r="116" spans="1:33">
      <c r="P116" s="50"/>
      <c r="Q116" s="50"/>
      <c r="R116" s="50"/>
      <c r="S116" s="50"/>
      <c r="T116" s="50"/>
      <c r="AF116" s="48"/>
      <c r="AG116" s="48"/>
    </row>
    <row r="117" spans="1:33">
      <c r="B117" s="55"/>
      <c r="C117" s="55"/>
      <c r="D117" s="55"/>
      <c r="E117" s="55"/>
      <c r="F117" s="55"/>
      <c r="G117" s="55"/>
      <c r="H117" s="55"/>
      <c r="I117" s="55"/>
      <c r="J117" s="55"/>
      <c r="K117" s="55"/>
      <c r="L117" s="55"/>
      <c r="M117" s="55"/>
      <c r="N117" s="55"/>
      <c r="O117" s="55"/>
      <c r="U117" s="55"/>
      <c r="V117" s="55"/>
      <c r="W117" s="55"/>
      <c r="X117" s="55"/>
      <c r="Y117" s="55"/>
      <c r="Z117" s="55"/>
      <c r="AA117" s="55"/>
      <c r="AB117" s="55"/>
      <c r="AC117" s="55"/>
      <c r="AD117" s="55"/>
      <c r="AE117" s="55"/>
      <c r="AF117" s="48"/>
      <c r="AG117" s="48"/>
    </row>
    <row r="118" spans="1:33">
      <c r="P118" s="55"/>
      <c r="Q118" s="55"/>
      <c r="R118" s="55"/>
      <c r="S118" s="55"/>
      <c r="T118" s="55"/>
      <c r="AF118" s="49"/>
      <c r="AG118" s="49"/>
    </row>
    <row r="119" spans="1:33">
      <c r="B119" s="52"/>
      <c r="C119" s="52"/>
      <c r="D119" s="52"/>
      <c r="E119" s="52"/>
      <c r="F119" s="52"/>
      <c r="G119" s="52"/>
      <c r="H119" s="52"/>
      <c r="I119" s="52"/>
      <c r="J119" s="52"/>
      <c r="K119" s="52"/>
      <c r="L119" s="52"/>
      <c r="M119" s="52"/>
      <c r="N119" s="52"/>
      <c r="O119" s="52"/>
      <c r="U119" s="52"/>
      <c r="V119" s="52"/>
      <c r="W119" s="52"/>
      <c r="X119" s="52"/>
      <c r="Y119" s="52"/>
      <c r="Z119" s="52"/>
      <c r="AA119" s="52"/>
      <c r="AB119" s="52"/>
      <c r="AC119" s="52"/>
      <c r="AD119" s="52"/>
      <c r="AE119" s="52"/>
      <c r="AF119" s="48"/>
      <c r="AG119" s="48"/>
    </row>
    <row r="120" spans="1:33">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0"/>
      <c r="AG120" s="50"/>
    </row>
    <row r="121" spans="1:33">
      <c r="P121" s="52"/>
      <c r="Q121" s="52"/>
      <c r="R121" s="52"/>
      <c r="S121" s="52"/>
      <c r="T121" s="52"/>
      <c r="AF121" s="50"/>
      <c r="AG121" s="50"/>
    </row>
    <row r="122" spans="1:33">
      <c r="B122" s="52"/>
      <c r="C122" s="52"/>
      <c r="D122" s="52"/>
      <c r="E122" s="52"/>
      <c r="F122" s="52"/>
      <c r="G122" s="52"/>
      <c r="H122" s="52"/>
      <c r="I122" s="52"/>
      <c r="J122" s="52"/>
      <c r="K122" s="52"/>
      <c r="L122" s="52"/>
      <c r="M122" s="52"/>
      <c r="N122" s="52"/>
      <c r="O122" s="52"/>
      <c r="U122" s="52"/>
      <c r="V122" s="52"/>
      <c r="W122" s="52"/>
      <c r="X122" s="52"/>
      <c r="Y122" s="52"/>
      <c r="Z122" s="52"/>
      <c r="AA122" s="52"/>
      <c r="AB122" s="52"/>
      <c r="AC122" s="52"/>
      <c r="AD122" s="52"/>
      <c r="AE122" s="52"/>
      <c r="AF122" s="50"/>
      <c r="AG122" s="50"/>
    </row>
    <row r="123" spans="1:33">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48"/>
      <c r="AG123" s="48"/>
    </row>
    <row r="124" spans="1:33">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49"/>
      <c r="AG124" s="49"/>
    </row>
    <row r="125" spans="1:33">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0"/>
      <c r="AG125" s="50"/>
    </row>
    <row r="126" spans="1:33">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1"/>
      <c r="AG126" s="51"/>
    </row>
    <row r="127" spans="1:33">
      <c r="P127" s="52"/>
      <c r="Q127" s="52"/>
      <c r="R127" s="52"/>
      <c r="S127" s="52"/>
      <c r="T127" s="52"/>
      <c r="AF127" s="48"/>
      <c r="AG127" s="48"/>
    </row>
    <row r="128" spans="1:33">
      <c r="B128" s="52"/>
      <c r="C128" s="52"/>
      <c r="D128" s="52"/>
      <c r="E128" s="52"/>
      <c r="F128" s="52"/>
      <c r="G128" s="52"/>
      <c r="H128" s="52"/>
      <c r="I128" s="52"/>
      <c r="J128" s="52"/>
      <c r="K128" s="52"/>
      <c r="L128" s="52"/>
      <c r="M128" s="52"/>
      <c r="N128" s="52"/>
      <c r="O128" s="52"/>
      <c r="U128" s="52"/>
      <c r="V128" s="52"/>
      <c r="W128" s="52"/>
      <c r="X128" s="52"/>
      <c r="Y128" s="52"/>
      <c r="Z128" s="52"/>
      <c r="AA128" s="52"/>
      <c r="AB128" s="52"/>
      <c r="AC128" s="52"/>
      <c r="AD128" s="52"/>
      <c r="AE128" s="52"/>
      <c r="AF128" s="50"/>
      <c r="AG128" s="50"/>
    </row>
    <row r="129" spans="2:33">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0"/>
      <c r="AG129" s="50"/>
    </row>
    <row r="130" spans="2:33">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row>
    <row r="131" spans="2:33">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row>
    <row r="132" spans="2:33">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row>
    <row r="133" spans="2:33">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row>
    <row r="134" spans="2:33">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row>
    <row r="135" spans="2:33">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row>
    <row r="136" spans="2:33">
      <c r="P136" s="52"/>
      <c r="Q136" s="52"/>
      <c r="R136" s="52"/>
      <c r="S136" s="52"/>
      <c r="T136" s="52"/>
    </row>
    <row r="137" spans="2:33">
      <c r="B137" s="52"/>
      <c r="C137" s="52"/>
      <c r="D137" s="52"/>
      <c r="E137" s="52"/>
      <c r="F137" s="52"/>
      <c r="G137" s="52"/>
      <c r="H137" s="52"/>
      <c r="I137" s="52"/>
      <c r="J137" s="52"/>
      <c r="K137" s="52"/>
      <c r="L137" s="52"/>
      <c r="M137" s="52"/>
      <c r="N137" s="52"/>
      <c r="O137" s="52"/>
      <c r="U137" s="52"/>
      <c r="V137" s="52"/>
      <c r="W137" s="52"/>
      <c r="X137" s="52"/>
      <c r="Y137" s="52"/>
      <c r="Z137" s="52"/>
      <c r="AA137" s="52"/>
      <c r="AB137" s="52"/>
      <c r="AC137" s="52"/>
      <c r="AD137" s="52"/>
      <c r="AE137" s="52"/>
      <c r="AF137" s="52"/>
      <c r="AG137" s="52"/>
    </row>
    <row r="138" spans="2:33">
      <c r="P138" s="52"/>
      <c r="Q138" s="52"/>
      <c r="R138" s="52"/>
      <c r="S138" s="52"/>
      <c r="T138" s="52"/>
    </row>
  </sheetData>
  <mergeCells count="1">
    <mergeCell ref="A113:B1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3CDA6-2BC5-F04E-A972-EC8CDF788AD8}">
  <dimension ref="B1:S22"/>
  <sheetViews>
    <sheetView tabSelected="1" topLeftCell="A2" zoomScale="95" workbookViewId="0">
      <selection activeCell="A11" sqref="A11:XFD11"/>
    </sheetView>
  </sheetViews>
  <sheetFormatPr baseColWidth="10" defaultColWidth="11" defaultRowHeight="16"/>
  <cols>
    <col min="2" max="2" width="35.5" bestFit="1" customWidth="1"/>
    <col min="3" max="3" width="10.6640625" bestFit="1" customWidth="1"/>
    <col min="4" max="4" width="13.5" bestFit="1" customWidth="1"/>
    <col min="5" max="5" width="12.6640625" customWidth="1"/>
    <col min="6" max="6" width="18.33203125" bestFit="1" customWidth="1"/>
    <col min="7" max="10" width="12.6640625" customWidth="1"/>
    <col min="11" max="11" width="18.33203125" bestFit="1" customWidth="1"/>
    <col min="12" max="13" width="9.33203125" bestFit="1" customWidth="1"/>
  </cols>
  <sheetData>
    <row r="1" spans="2:19" hidden="1">
      <c r="B1" s="55"/>
      <c r="C1" s="55"/>
      <c r="D1" s="33"/>
      <c r="E1" s="33"/>
      <c r="F1" s="33"/>
      <c r="G1" s="33"/>
      <c r="H1" s="33"/>
      <c r="I1" s="33"/>
      <c r="J1" s="33"/>
      <c r="K1" s="33"/>
      <c r="L1" s="33"/>
      <c r="M1" s="33"/>
      <c r="N1" s="33"/>
      <c r="O1" s="33"/>
      <c r="P1" s="33"/>
      <c r="Q1" s="33"/>
    </row>
    <row r="2" spans="2:19" ht="11.25" customHeight="1"/>
    <row r="3" spans="2:19" ht="30" customHeight="1">
      <c r="B3" s="420"/>
      <c r="C3" s="420" t="s">
        <v>511</v>
      </c>
      <c r="D3" s="420" t="s">
        <v>163</v>
      </c>
      <c r="E3" s="420" t="s">
        <v>165</v>
      </c>
      <c r="F3" s="661" t="s">
        <v>512</v>
      </c>
      <c r="G3" s="661"/>
      <c r="H3" s="661"/>
      <c r="I3" s="260"/>
      <c r="J3" s="253"/>
    </row>
    <row r="4" spans="2:19" ht="27" customHeight="1">
      <c r="B4" s="420" t="s">
        <v>513</v>
      </c>
      <c r="C4" s="420" t="s">
        <v>514</v>
      </c>
      <c r="D4" s="420" t="s">
        <v>510</v>
      </c>
      <c r="E4" s="420" t="s">
        <v>515</v>
      </c>
      <c r="F4" s="261"/>
      <c r="G4" s="262" t="s">
        <v>515</v>
      </c>
      <c r="H4" s="262" t="s">
        <v>510</v>
      </c>
      <c r="I4" s="262" t="s">
        <v>514</v>
      </c>
      <c r="J4" s="203"/>
    </row>
    <row r="5" spans="2:19" ht="27.75" customHeight="1">
      <c r="B5" s="421" t="s">
        <v>516</v>
      </c>
      <c r="C5" s="421" t="s">
        <v>390</v>
      </c>
      <c r="D5" s="421" t="s">
        <v>390</v>
      </c>
      <c r="E5" s="421" t="s">
        <v>390</v>
      </c>
      <c r="F5" s="263">
        <v>2025</v>
      </c>
      <c r="G5" s="264">
        <f>'Income Statement'!B58</f>
        <v>3470</v>
      </c>
      <c r="H5" s="264">
        <f>'Income Statement'!B57</f>
        <v>4560</v>
      </c>
      <c r="I5" s="264">
        <f>'Income Statement'!B50*'Income Statement'!B51</f>
        <v>1787.1997797114</v>
      </c>
      <c r="J5" s="324" t="s">
        <v>517</v>
      </c>
    </row>
    <row r="6" spans="2:19" ht="25.5" customHeight="1">
      <c r="B6" s="378" t="s">
        <v>518</v>
      </c>
      <c r="C6" s="422">
        <f>'Comparable Co Statements '!A2/'Comparable Co Statements '!B34</f>
        <v>30.581632653061224</v>
      </c>
      <c r="D6" s="422">
        <f>'Comparable Co Statements '!B26</f>
        <v>12.44</v>
      </c>
      <c r="E6" s="422">
        <f>'Comparable Co Statements '!B25</f>
        <v>16.760000000000002</v>
      </c>
      <c r="F6" s="267" t="s">
        <v>519</v>
      </c>
      <c r="G6" s="264">
        <f>G5*E10</f>
        <v>71724.900000000009</v>
      </c>
      <c r="H6" s="264">
        <f>H5*D10</f>
        <v>56726.399999999994</v>
      </c>
      <c r="I6" s="264"/>
      <c r="J6" s="204"/>
    </row>
    <row r="7" spans="2:19" ht="28.5" customHeight="1">
      <c r="B7" s="378" t="s">
        <v>520</v>
      </c>
      <c r="C7" s="422">
        <f>'Comparable Co Statements '!H2/'Comparable Co Statements '!I34</f>
        <v>38.186363636363637</v>
      </c>
      <c r="D7" s="422">
        <f>'Comparable Co Statements '!I26</f>
        <v>12.85</v>
      </c>
      <c r="E7" s="422">
        <f>'Comparable Co Statements '!I25</f>
        <v>24.05</v>
      </c>
      <c r="F7" s="265" t="s">
        <v>521</v>
      </c>
      <c r="G7" s="264">
        <f>'Balance Sheet'!B46+'Balance Sheet'!B53</f>
        <v>14494</v>
      </c>
      <c r="H7" s="268">
        <f>G7</f>
        <v>14494</v>
      </c>
      <c r="I7" s="268"/>
      <c r="J7" s="204"/>
    </row>
    <row r="8" spans="2:19" ht="27.75" customHeight="1">
      <c r="B8" s="378" t="s">
        <v>522</v>
      </c>
      <c r="C8" s="422">
        <f>'Comparable Co Statements '!P2/'Comparable Co Statements '!P34</f>
        <v>0</v>
      </c>
      <c r="D8" s="422">
        <f>'Comparable Co Statements '!P26</f>
        <v>9.09</v>
      </c>
      <c r="E8" s="422">
        <f>'Comparable Co Statements '!P25</f>
        <v>20.67</v>
      </c>
      <c r="F8" s="265"/>
      <c r="G8" s="264"/>
      <c r="H8" s="264"/>
      <c r="I8" s="264"/>
      <c r="J8" s="204"/>
    </row>
    <row r="9" spans="2:19" ht="24.75" customHeight="1">
      <c r="B9" s="420" t="s">
        <v>34</v>
      </c>
      <c r="C9" s="423">
        <f>AVERAGE(C6:C8)</f>
        <v>22.922665429808287</v>
      </c>
      <c r="D9" s="423">
        <f>AVERAGE(D6:D8)</f>
        <v>11.459999999999999</v>
      </c>
      <c r="E9" s="423">
        <f>AVERAGE(E6:E8)</f>
        <v>20.493333333333336</v>
      </c>
      <c r="F9" s="265" t="s">
        <v>523</v>
      </c>
      <c r="G9" s="264">
        <f>'Balance Sheet'!B85</f>
        <v>41</v>
      </c>
      <c r="H9" s="264">
        <f>'Balance Sheet'!B85</f>
        <v>41</v>
      </c>
      <c r="I9" s="264"/>
      <c r="J9" s="324" t="s">
        <v>524</v>
      </c>
    </row>
    <row r="10" spans="2:19" ht="26.25" customHeight="1">
      <c r="B10" s="420" t="s">
        <v>35</v>
      </c>
      <c r="C10" s="423">
        <f>MEDIAN(C6:C8)</f>
        <v>30.581632653061224</v>
      </c>
      <c r="D10" s="423">
        <f>MEDIAN(D6:D8)</f>
        <v>12.44</v>
      </c>
      <c r="E10" s="423">
        <f>MEDIAN(E6:E8)</f>
        <v>20.67</v>
      </c>
      <c r="F10" s="267" t="s">
        <v>525</v>
      </c>
      <c r="G10" s="264">
        <f>G6-G7+G9</f>
        <v>57271.900000000009</v>
      </c>
      <c r="H10" s="268">
        <f>H6-H7+H9</f>
        <v>42273.399999999994</v>
      </c>
      <c r="I10" s="268">
        <f>I5*C10</f>
        <v>54655.487140765974</v>
      </c>
      <c r="J10" s="204"/>
    </row>
    <row r="11" spans="2:19" ht="21.75" customHeight="1">
      <c r="B11" s="421" t="s">
        <v>526</v>
      </c>
      <c r="C11" s="424"/>
      <c r="D11" s="424"/>
      <c r="E11" s="424"/>
      <c r="F11" s="265" t="s">
        <v>191</v>
      </c>
      <c r="G11" s="266">
        <f>'Income Statement'!B51</f>
        <v>480.66262699999999</v>
      </c>
      <c r="H11" s="266">
        <f>G11</f>
        <v>480.66262699999999</v>
      </c>
      <c r="I11" s="266">
        <f>H11</f>
        <v>480.66262699999999</v>
      </c>
      <c r="J11" s="204"/>
    </row>
    <row r="12" spans="2:19" ht="28.5" customHeight="1">
      <c r="B12" s="419" t="s">
        <v>527</v>
      </c>
      <c r="C12" s="425">
        <f>'Income Statement'!A2/'Income Statement'!B50</f>
        <v>19.181324296702705</v>
      </c>
      <c r="D12" s="425" t="e">
        <f>#REF!</f>
        <v>#REF!</v>
      </c>
      <c r="E12" s="425" t="e">
        <f>#REF!</f>
        <v>#REF!</v>
      </c>
      <c r="F12" s="265" t="s">
        <v>528</v>
      </c>
      <c r="G12" s="264">
        <f>G10/G11</f>
        <v>119.15197226265734</v>
      </c>
      <c r="H12" s="264">
        <f>H10/H11</f>
        <v>87.948173262074718</v>
      </c>
      <c r="I12" s="264">
        <f>I10/I11</f>
        <v>113.70862653061224</v>
      </c>
      <c r="J12" s="204"/>
    </row>
    <row r="13" spans="2:19">
      <c r="B13" s="56"/>
      <c r="C13" s="56"/>
      <c r="D13" s="56"/>
      <c r="F13" s="269"/>
      <c r="G13" s="269"/>
      <c r="H13" s="269"/>
      <c r="I13" s="269"/>
      <c r="K13" s="56" t="s">
        <v>390</v>
      </c>
      <c r="L13" s="56" t="s">
        <v>390</v>
      </c>
      <c r="M13" s="56" t="s">
        <v>390</v>
      </c>
    </row>
    <row r="14" spans="2:19">
      <c r="B14" s="56"/>
      <c r="C14" s="56"/>
      <c r="D14" s="56"/>
    </row>
    <row r="15" spans="2:19">
      <c r="B15" s="254"/>
      <c r="C15" s="254"/>
      <c r="D15" s="257"/>
      <c r="E15" s="254"/>
    </row>
    <row r="16" spans="2:19">
      <c r="B16" s="254"/>
      <c r="C16" s="254"/>
      <c r="D16" s="255"/>
      <c r="E16" s="254"/>
      <c r="F16" s="254"/>
      <c r="G16" s="254"/>
      <c r="H16" s="254"/>
      <c r="I16" s="254"/>
      <c r="J16" s="254"/>
      <c r="K16" s="256"/>
      <c r="L16" s="256"/>
      <c r="M16" s="254"/>
      <c r="N16" s="254"/>
      <c r="O16" s="256"/>
      <c r="P16" s="254"/>
      <c r="Q16" s="254"/>
      <c r="R16" s="254"/>
      <c r="S16" s="254"/>
    </row>
    <row r="17" spans="2:19">
      <c r="B17" s="38"/>
      <c r="C17" s="38"/>
      <c r="D17" s="323"/>
      <c r="E17" s="38"/>
      <c r="F17" s="254"/>
      <c r="G17" s="254"/>
      <c r="H17" s="254"/>
      <c r="I17" s="254"/>
      <c r="J17" s="254"/>
      <c r="K17" s="254"/>
      <c r="L17" s="254"/>
      <c r="M17" s="254"/>
      <c r="N17" s="254"/>
      <c r="O17" s="254"/>
      <c r="P17" s="258"/>
      <c r="Q17" s="259"/>
      <c r="R17" s="259"/>
      <c r="S17" s="254"/>
    </row>
    <row r="18" spans="2:19">
      <c r="B18" s="38"/>
      <c r="C18" s="38"/>
      <c r="D18" s="38"/>
      <c r="E18" s="38"/>
      <c r="F18" s="38"/>
      <c r="G18" s="38"/>
      <c r="H18" s="38"/>
      <c r="I18" s="38"/>
      <c r="J18" s="254"/>
      <c r="K18" s="254"/>
      <c r="L18" s="254"/>
      <c r="M18" s="254"/>
      <c r="N18" s="254"/>
      <c r="O18" s="254"/>
      <c r="P18" s="254"/>
      <c r="Q18" s="254"/>
      <c r="R18" s="254"/>
      <c r="S18" s="254"/>
    </row>
    <row r="19" spans="2:19">
      <c r="B19" s="38"/>
      <c r="C19" s="38"/>
      <c r="D19" s="38"/>
      <c r="E19" s="38"/>
      <c r="F19" s="38"/>
      <c r="G19" s="38"/>
      <c r="H19" s="38"/>
      <c r="I19" s="38"/>
      <c r="J19" s="254"/>
      <c r="K19" s="254"/>
      <c r="L19" s="254"/>
      <c r="M19" s="254"/>
      <c r="N19" s="254"/>
      <c r="O19" s="254"/>
      <c r="P19" s="254"/>
      <c r="Q19" s="254"/>
      <c r="R19" s="254"/>
      <c r="S19" s="254"/>
    </row>
    <row r="20" spans="2:19">
      <c r="B20" s="37"/>
      <c r="C20" s="38"/>
      <c r="D20" s="38"/>
      <c r="E20" s="38"/>
      <c r="F20" s="38"/>
      <c r="G20" s="38"/>
      <c r="H20" s="38"/>
      <c r="I20" s="38"/>
      <c r="J20" s="254"/>
      <c r="K20" s="254"/>
      <c r="L20" s="254"/>
      <c r="M20" s="254"/>
      <c r="N20" s="254"/>
      <c r="O20" s="254"/>
      <c r="P20" s="254"/>
      <c r="Q20" s="254"/>
      <c r="R20" s="254"/>
      <c r="S20" s="254"/>
    </row>
    <row r="21" spans="2:19">
      <c r="B21" s="38"/>
      <c r="C21" s="38"/>
      <c r="D21" s="38"/>
      <c r="E21" s="38"/>
      <c r="F21" s="38"/>
      <c r="G21" s="38"/>
      <c r="H21" s="38"/>
      <c r="I21" s="38"/>
      <c r="J21" s="254"/>
      <c r="K21" s="254"/>
      <c r="L21" s="254"/>
      <c r="M21" s="254"/>
      <c r="N21" s="254"/>
      <c r="O21" s="254"/>
      <c r="P21" s="254"/>
      <c r="Q21" s="254"/>
      <c r="R21" s="254"/>
      <c r="S21" s="254"/>
    </row>
    <row r="22" spans="2:19">
      <c r="F22" s="38"/>
      <c r="G22" s="38"/>
      <c r="H22" s="38"/>
      <c r="I22" s="38"/>
      <c r="J22" s="254"/>
      <c r="K22" s="254"/>
      <c r="L22" s="254"/>
      <c r="M22" s="254"/>
      <c r="N22" s="254"/>
      <c r="O22" s="254"/>
      <c r="P22" s="254"/>
      <c r="Q22" s="254"/>
      <c r="R22" s="254"/>
      <c r="S22" s="254"/>
    </row>
  </sheetData>
  <mergeCells count="1">
    <mergeCell ref="F3: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8E08C-19E8-4524-B88F-53DD70E0125A}">
  <dimension ref="B2:H18"/>
  <sheetViews>
    <sheetView workbookViewId="0"/>
  </sheetViews>
  <sheetFormatPr baseColWidth="10" defaultColWidth="11" defaultRowHeight="16"/>
  <cols>
    <col min="2" max="2" width="15.33203125" bestFit="1" customWidth="1"/>
    <col min="3" max="3" width="19.5" bestFit="1" customWidth="1"/>
    <col min="6" max="6" width="7.5" bestFit="1" customWidth="1"/>
  </cols>
  <sheetData>
    <row r="2" spans="2:8">
      <c r="C2" s="662" t="s">
        <v>139</v>
      </c>
      <c r="D2" s="662"/>
      <c r="E2" s="662"/>
    </row>
    <row r="3" spans="2:8">
      <c r="B3" t="s">
        <v>140</v>
      </c>
      <c r="C3">
        <v>2025</v>
      </c>
      <c r="D3">
        <v>2024</v>
      </c>
      <c r="E3">
        <v>2023</v>
      </c>
    </row>
    <row r="4" spans="2:8">
      <c r="B4" t="s">
        <v>141</v>
      </c>
      <c r="C4" s="298">
        <v>66073</v>
      </c>
      <c r="D4" s="298">
        <v>63931</v>
      </c>
      <c r="E4" s="298">
        <v>62404</v>
      </c>
    </row>
    <row r="5" spans="2:8">
      <c r="B5" t="s">
        <v>142</v>
      </c>
      <c r="C5" s="298">
        <v>6113</v>
      </c>
      <c r="D5" s="298">
        <v>5993</v>
      </c>
      <c r="E5" s="298">
        <v>5828</v>
      </c>
    </row>
    <row r="6" spans="2:8">
      <c r="B6" t="s">
        <v>143</v>
      </c>
      <c r="C6" s="298">
        <v>4081</v>
      </c>
      <c r="D6" s="298">
        <v>3760</v>
      </c>
      <c r="E6" s="298">
        <v>3340</v>
      </c>
    </row>
    <row r="7" spans="2:8">
      <c r="B7" t="s">
        <v>144</v>
      </c>
      <c r="C7" s="298">
        <v>1714</v>
      </c>
      <c r="D7" s="298">
        <v>1712</v>
      </c>
      <c r="E7" s="298">
        <v>1591</v>
      </c>
    </row>
    <row r="8" spans="2:8">
      <c r="B8" t="s">
        <v>127</v>
      </c>
      <c r="C8" s="298">
        <v>3389</v>
      </c>
      <c r="D8" s="298">
        <v>3448</v>
      </c>
      <c r="E8" s="298">
        <v>3162</v>
      </c>
    </row>
    <row r="9" spans="2:8">
      <c r="B9" t="s">
        <v>123</v>
      </c>
      <c r="C9" s="298">
        <f>SUM(C4:C8)</f>
        <v>81370</v>
      </c>
      <c r="D9" s="298">
        <f>SUM(D4:D8)</f>
        <v>78844</v>
      </c>
      <c r="E9" s="298">
        <f>SUM(E4:E8)</f>
        <v>76325</v>
      </c>
    </row>
    <row r="10" spans="2:8">
      <c r="C10" s="298"/>
      <c r="D10" s="298"/>
      <c r="E10" s="298"/>
      <c r="H10" t="s">
        <v>145</v>
      </c>
    </row>
    <row r="11" spans="2:8">
      <c r="C11" s="325"/>
      <c r="D11" s="325"/>
      <c r="E11" s="325"/>
      <c r="F11" s="325"/>
      <c r="G11" s="325"/>
    </row>
    <row r="12" spans="2:8">
      <c r="B12" t="s">
        <v>140</v>
      </c>
      <c r="C12" s="325" t="s">
        <v>146</v>
      </c>
      <c r="D12" s="298"/>
      <c r="E12" s="298"/>
    </row>
    <row r="13" spans="2:8">
      <c r="B13" t="s">
        <v>141</v>
      </c>
      <c r="C13" s="69">
        <f>C4/$C$9</f>
        <v>0.81200688214329608</v>
      </c>
      <c r="D13" s="298"/>
      <c r="E13" s="298"/>
    </row>
    <row r="14" spans="2:8">
      <c r="B14" t="s">
        <v>142</v>
      </c>
      <c r="C14" s="69">
        <f>C5/$C$9</f>
        <v>7.5125967801401003E-2</v>
      </c>
      <c r="D14" s="298"/>
      <c r="E14" s="298"/>
    </row>
    <row r="15" spans="2:8">
      <c r="B15" t="s">
        <v>143</v>
      </c>
      <c r="C15" s="69">
        <f>C6/$C$9</f>
        <v>5.0153619270001226E-2</v>
      </c>
      <c r="D15" s="298"/>
      <c r="E15" s="298"/>
    </row>
    <row r="16" spans="2:8">
      <c r="B16" t="s">
        <v>144</v>
      </c>
      <c r="C16" s="69">
        <f>C7/$C$9</f>
        <v>2.1064274302568513E-2</v>
      </c>
      <c r="D16" s="298"/>
      <c r="E16" s="298"/>
    </row>
    <row r="17" spans="2:3">
      <c r="B17" t="s">
        <v>127</v>
      </c>
      <c r="C17" s="69">
        <f>C8/$C$9</f>
        <v>4.1649256482733196E-2</v>
      </c>
    </row>
    <row r="18" spans="2:3">
      <c r="C18" s="69"/>
    </row>
  </sheetData>
  <mergeCells count="1">
    <mergeCell ref="C2:E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4D0F1-8378-734E-BD5E-010913A06D66}">
  <dimension ref="A1:H176"/>
  <sheetViews>
    <sheetView topLeftCell="A65" zoomScale="87" workbookViewId="0">
      <selection activeCell="G92" sqref="G92"/>
    </sheetView>
  </sheetViews>
  <sheetFormatPr baseColWidth="10" defaultColWidth="9.1640625" defaultRowHeight="13"/>
  <cols>
    <col min="1" max="1" width="48.6640625" style="105" customWidth="1"/>
    <col min="2" max="2" width="8" style="105" customWidth="1"/>
    <col min="3" max="3" width="7.83203125" style="381" customWidth="1"/>
    <col min="4" max="7" width="7.83203125" style="105" customWidth="1"/>
    <col min="8" max="16384" width="9.1640625" style="105"/>
  </cols>
  <sheetData>
    <row r="1" spans="1:7" ht="20" customHeight="1">
      <c r="A1" s="133" t="s">
        <v>236</v>
      </c>
    </row>
    <row r="2" spans="1:7" ht="20" customHeight="1">
      <c r="A2" s="132" t="s">
        <v>237</v>
      </c>
    </row>
    <row r="3" spans="1:7" ht="20" customHeight="1">
      <c r="A3" s="131"/>
      <c r="B3" s="131"/>
      <c r="C3" s="382"/>
      <c r="D3" s="131"/>
      <c r="E3" s="131"/>
      <c r="F3" s="131"/>
      <c r="G3" s="131"/>
    </row>
    <row r="4" spans="1:7" ht="20" customHeight="1">
      <c r="A4" s="118" t="s">
        <v>238</v>
      </c>
      <c r="B4" s="118"/>
      <c r="C4" s="383"/>
      <c r="D4" s="118"/>
      <c r="E4" s="118"/>
      <c r="F4" s="118"/>
      <c r="G4" s="118"/>
    </row>
    <row r="5" spans="1:7" ht="20" customHeight="1">
      <c r="A5" s="118" t="s">
        <v>239</v>
      </c>
      <c r="B5" s="118"/>
      <c r="C5" s="383"/>
      <c r="D5" s="118"/>
      <c r="E5" s="118"/>
      <c r="F5" s="118"/>
      <c r="G5" s="118"/>
    </row>
    <row r="6" spans="1:7" ht="20" customHeight="1">
      <c r="A6" s="118" t="s">
        <v>240</v>
      </c>
      <c r="B6" s="118"/>
      <c r="C6" s="383"/>
      <c r="D6" s="118"/>
      <c r="E6" s="118"/>
      <c r="F6" s="118"/>
      <c r="G6" s="118"/>
    </row>
    <row r="7" spans="1:7" ht="17.25" customHeight="1">
      <c r="A7" s="130" t="s">
        <v>241</v>
      </c>
      <c r="B7" s="130"/>
      <c r="D7" s="130"/>
      <c r="E7" s="130"/>
      <c r="F7" s="130"/>
      <c r="G7" s="130"/>
    </row>
    <row r="8" spans="1:7" ht="16" customHeight="1">
      <c r="A8" s="118"/>
      <c r="B8" s="118" t="s">
        <v>5</v>
      </c>
      <c r="C8" s="383" t="s">
        <v>4</v>
      </c>
      <c r="D8" s="118" t="s">
        <v>3</v>
      </c>
      <c r="E8" s="118" t="s">
        <v>2</v>
      </c>
      <c r="F8" s="118" t="s">
        <v>1</v>
      </c>
      <c r="G8" s="118"/>
    </row>
    <row r="9" spans="1:7" ht="16" customHeight="1">
      <c r="A9" s="118"/>
      <c r="B9" s="118"/>
      <c r="C9" s="383"/>
      <c r="D9" s="118"/>
      <c r="E9" s="118"/>
      <c r="F9" s="118"/>
      <c r="G9" s="118"/>
    </row>
    <row r="10" spans="1:7" ht="16" customHeight="1">
      <c r="A10" s="116" t="s">
        <v>122</v>
      </c>
      <c r="B10" s="125">
        <v>51297.843000000001</v>
      </c>
      <c r="C10" s="384">
        <v>68636.145999999993</v>
      </c>
      <c r="D10" s="125">
        <v>76324.675000000003</v>
      </c>
      <c r="E10" s="125">
        <v>78844</v>
      </c>
      <c r="F10" s="125">
        <v>81370</v>
      </c>
      <c r="G10" s="125"/>
    </row>
    <row r="11" spans="1:7" ht="16" customHeight="1">
      <c r="A11" s="112" t="s">
        <v>242</v>
      </c>
      <c r="B11" s="126">
        <v>42573.402000000002</v>
      </c>
      <c r="C11" s="384">
        <v>56421.622000000003</v>
      </c>
      <c r="D11" s="126">
        <v>62474.678</v>
      </c>
      <c r="E11" s="126">
        <v>65092</v>
      </c>
      <c r="F11" s="126">
        <v>67332</v>
      </c>
      <c r="G11" s="126"/>
    </row>
    <row r="12" spans="1:7" ht="16" customHeight="1">
      <c r="A12" s="110" t="s">
        <v>243</v>
      </c>
      <c r="B12" s="122">
        <v>41720.995999999999</v>
      </c>
      <c r="C12" s="385">
        <v>55539.97</v>
      </c>
      <c r="D12" s="122">
        <v>61585.504999999997</v>
      </c>
      <c r="E12" s="122">
        <v>64098</v>
      </c>
      <c r="F12" s="122">
        <v>66246</v>
      </c>
      <c r="G12" s="122"/>
    </row>
    <row r="13" spans="1:7" ht="16" customHeight="1">
      <c r="A13" s="112" t="s">
        <v>244</v>
      </c>
      <c r="B13" s="126">
        <v>852.40599999999995</v>
      </c>
      <c r="C13" s="384">
        <v>881.65200000000004</v>
      </c>
      <c r="D13" s="126">
        <v>889.173</v>
      </c>
      <c r="E13" s="126">
        <v>994</v>
      </c>
      <c r="F13" s="126">
        <v>1086</v>
      </c>
      <c r="G13" s="126"/>
    </row>
    <row r="14" spans="1:7" ht="16" customHeight="1">
      <c r="A14" s="110" t="s">
        <v>164</v>
      </c>
      <c r="B14" s="110">
        <v>748.90599999999995</v>
      </c>
      <c r="C14" s="385">
        <v>748.75199999999995</v>
      </c>
      <c r="D14" s="122">
        <v>762.87300000000005</v>
      </c>
      <c r="E14" s="122">
        <v>852</v>
      </c>
      <c r="F14" s="122">
        <v>939</v>
      </c>
      <c r="G14" s="122"/>
    </row>
    <row r="15" spans="1:7" ht="16" customHeight="1">
      <c r="A15" s="108" t="s">
        <v>245</v>
      </c>
      <c r="B15" s="108">
        <v>103.5</v>
      </c>
      <c r="C15" s="385">
        <v>132.9</v>
      </c>
      <c r="D15" s="121">
        <v>126.3</v>
      </c>
      <c r="E15" s="121">
        <v>142</v>
      </c>
      <c r="F15" s="121">
        <v>147</v>
      </c>
      <c r="G15" s="121"/>
    </row>
    <row r="16" spans="1:7" ht="16" customHeight="1">
      <c r="A16" s="116" t="s">
        <v>246</v>
      </c>
      <c r="B16" s="125">
        <v>8724.4410000000007</v>
      </c>
      <c r="C16" s="384">
        <v>12214.523999999999</v>
      </c>
      <c r="D16" s="125">
        <v>13849.996999999999</v>
      </c>
      <c r="E16" s="125">
        <v>13752</v>
      </c>
      <c r="F16" s="125">
        <v>14038</v>
      </c>
      <c r="G16" s="125"/>
    </row>
    <row r="17" spans="1:7" ht="16" customHeight="1">
      <c r="A17" s="112" t="s">
        <v>247</v>
      </c>
      <c r="B17" s="126">
        <v>7133.31</v>
      </c>
      <c r="C17" s="384">
        <v>9784.7250000000004</v>
      </c>
      <c r="D17" s="126">
        <v>10708.566000000001</v>
      </c>
      <c r="E17" s="126">
        <v>10270</v>
      </c>
      <c r="F17" s="126">
        <v>10526</v>
      </c>
      <c r="G17" s="126"/>
    </row>
    <row r="18" spans="1:7" ht="16" customHeight="1">
      <c r="A18" s="110" t="s">
        <v>248</v>
      </c>
      <c r="B18" s="122">
        <v>7133.31</v>
      </c>
      <c r="C18" s="385">
        <v>9784.7250000000004</v>
      </c>
      <c r="D18" s="122">
        <v>10708.566000000001</v>
      </c>
      <c r="E18" s="122">
        <v>10270</v>
      </c>
      <c r="F18" s="122">
        <v>10526</v>
      </c>
      <c r="G18" s="122"/>
    </row>
    <row r="19" spans="1:7" ht="16" customHeight="1">
      <c r="A19" s="112" t="s">
        <v>249</v>
      </c>
      <c r="B19" s="126">
        <v>1591.1310000000001</v>
      </c>
      <c r="C19" s="384">
        <v>2429.799</v>
      </c>
      <c r="D19" s="126">
        <v>3141.431</v>
      </c>
      <c r="E19" s="126">
        <v>3482</v>
      </c>
      <c r="F19" s="126">
        <v>3512</v>
      </c>
      <c r="G19" s="126"/>
    </row>
    <row r="20" spans="1:7" ht="16" customHeight="1">
      <c r="A20" s="116" t="s">
        <v>250</v>
      </c>
      <c r="B20" s="125">
        <v>-4.29</v>
      </c>
      <c r="C20" s="384">
        <v>71.820999999999998</v>
      </c>
      <c r="D20" s="125">
        <v>-267.02300000000002</v>
      </c>
      <c r="E20" s="125">
        <v>-42</v>
      </c>
      <c r="F20" s="125">
        <v>-33</v>
      </c>
      <c r="G20" s="125"/>
    </row>
    <row r="21" spans="1:7" ht="16" customHeight="1">
      <c r="A21" s="108" t="s">
        <v>251</v>
      </c>
      <c r="B21" s="123">
        <v>-4.29</v>
      </c>
      <c r="C21" s="386">
        <v>71.820999999999998</v>
      </c>
      <c r="D21" s="123">
        <v>-267.02300000000002</v>
      </c>
      <c r="E21" s="123">
        <v>-42</v>
      </c>
      <c r="F21" s="121">
        <v>-33</v>
      </c>
      <c r="G21" s="123"/>
    </row>
    <row r="22" spans="1:7" ht="16" customHeight="1">
      <c r="A22" s="116" t="s">
        <v>120</v>
      </c>
      <c r="B22" s="125">
        <v>505.03899999999999</v>
      </c>
      <c r="C22" s="384">
        <v>470.26400000000001</v>
      </c>
      <c r="D22" s="125">
        <v>500.3</v>
      </c>
      <c r="E22" s="125">
        <v>578</v>
      </c>
      <c r="F22" s="125">
        <v>588</v>
      </c>
      <c r="G22" s="125"/>
    </row>
    <row r="23" spans="1:7" ht="16" customHeight="1">
      <c r="A23" s="108" t="s">
        <v>252</v>
      </c>
      <c r="B23" s="121">
        <v>505.03899999999999</v>
      </c>
      <c r="C23" s="385">
        <v>470.26400000000001</v>
      </c>
      <c r="D23" s="121">
        <v>500.3</v>
      </c>
      <c r="E23" s="121">
        <v>578</v>
      </c>
      <c r="F23" s="121">
        <v>588</v>
      </c>
      <c r="G23" s="121"/>
    </row>
    <row r="24" spans="1:7" ht="16" customHeight="1">
      <c r="A24" s="116" t="s">
        <v>253</v>
      </c>
      <c r="B24" s="125">
        <v>497.07400000000001</v>
      </c>
      <c r="C24" s="384">
        <v>284.58300000000003</v>
      </c>
      <c r="D24" s="125">
        <v>88.753</v>
      </c>
      <c r="E24" s="125">
        <v>297</v>
      </c>
      <c r="F24" s="125">
        <v>476</v>
      </c>
      <c r="G24" s="125"/>
    </row>
    <row r="25" spans="1:7" ht="16" customHeight="1">
      <c r="A25" s="112" t="s">
        <v>254</v>
      </c>
      <c r="B25" s="112">
        <v>0</v>
      </c>
      <c r="C25" s="384"/>
      <c r="D25" s="112"/>
      <c r="E25" s="112"/>
      <c r="F25" s="112">
        <v>92</v>
      </c>
      <c r="G25" s="126"/>
    </row>
    <row r="26" spans="1:7" ht="16" customHeight="1">
      <c r="A26" s="110" t="s">
        <v>255</v>
      </c>
      <c r="B26" s="122">
        <v>0</v>
      </c>
      <c r="C26" s="385">
        <v>0</v>
      </c>
      <c r="D26" s="122">
        <v>0</v>
      </c>
      <c r="E26" s="122">
        <v>0</v>
      </c>
      <c r="F26" s="122">
        <v>92</v>
      </c>
      <c r="G26" s="122"/>
    </row>
    <row r="27" spans="1:7" ht="16" customHeight="1">
      <c r="A27" s="108" t="s">
        <v>256</v>
      </c>
      <c r="B27" s="121">
        <v>133.727</v>
      </c>
      <c r="C27" s="385">
        <v>142.70500000000001</v>
      </c>
      <c r="D27" s="121">
        <v>73.853999999999999</v>
      </c>
      <c r="E27" s="121">
        <v>279</v>
      </c>
      <c r="F27" s="121">
        <v>343</v>
      </c>
      <c r="G27" s="121"/>
    </row>
    <row r="28" spans="1:7" ht="16" customHeight="1">
      <c r="A28" s="116" t="s">
        <v>257</v>
      </c>
      <c r="B28" s="125">
        <v>-69.45</v>
      </c>
      <c r="C28" s="384">
        <v>-26.274999999999999</v>
      </c>
      <c r="D28" s="125">
        <v>-14.898999999999999</v>
      </c>
      <c r="E28" s="125">
        <v>-18</v>
      </c>
      <c r="F28" s="125">
        <v>-41</v>
      </c>
      <c r="G28" s="125"/>
    </row>
    <row r="29" spans="1:7" ht="16" customHeight="1">
      <c r="A29" s="108" t="s">
        <v>258</v>
      </c>
      <c r="B29" s="123">
        <v>-69.45</v>
      </c>
      <c r="C29" s="386">
        <v>-26.274999999999999</v>
      </c>
      <c r="D29" s="123">
        <v>-14.898999999999999</v>
      </c>
      <c r="E29" s="123">
        <v>-18</v>
      </c>
      <c r="F29" s="123">
        <v>-41</v>
      </c>
      <c r="G29" s="123"/>
    </row>
    <row r="30" spans="1:7" ht="16" customHeight="1">
      <c r="A30" s="116" t="s">
        <v>259</v>
      </c>
      <c r="B30" s="116">
        <v>293.89699999999999</v>
      </c>
      <c r="C30" s="283">
        <v>115.60299999999999</v>
      </c>
      <c r="D30" s="116">
        <v>0</v>
      </c>
      <c r="E30" s="125"/>
      <c r="F30" s="125"/>
      <c r="G30" s="125"/>
    </row>
    <row r="31" spans="1:7" ht="16" customHeight="1">
      <c r="A31" s="108" t="s">
        <v>260</v>
      </c>
      <c r="B31" s="108">
        <v>293.89699999999999</v>
      </c>
      <c r="C31" s="387">
        <v>115.60299999999999</v>
      </c>
      <c r="D31" s="108">
        <v>0</v>
      </c>
      <c r="E31" s="121"/>
      <c r="F31" s="121"/>
      <c r="G31" s="121"/>
    </row>
    <row r="32" spans="1:7" ht="16" customHeight="1">
      <c r="A32" s="116" t="s">
        <v>261</v>
      </c>
      <c r="B32" s="125">
        <v>584.72799999999995</v>
      </c>
      <c r="C32" s="384">
        <v>1746.7729999999999</v>
      </c>
      <c r="D32" s="125">
        <v>2285.355</v>
      </c>
      <c r="E32" s="125">
        <v>2565</v>
      </c>
      <c r="F32" s="125">
        <v>2415</v>
      </c>
      <c r="G32" s="125"/>
    </row>
    <row r="33" spans="1:7" ht="16" customHeight="1">
      <c r="A33" s="283" t="s">
        <v>262</v>
      </c>
      <c r="B33" s="134">
        <f>B34/B32</f>
        <v>0.10349940485148651</v>
      </c>
      <c r="C33" s="388">
        <f>C34/C32</f>
        <v>0.22212674457413759</v>
      </c>
      <c r="D33" s="134">
        <f t="shared" ref="D33:F33" si="0">D34/D32</f>
        <v>0.22544900026472911</v>
      </c>
      <c r="E33" s="134">
        <f t="shared" si="0"/>
        <v>0.23781676413255359</v>
      </c>
      <c r="F33" s="134">
        <f t="shared" si="0"/>
        <v>0.24306418219461698</v>
      </c>
      <c r="G33" s="125"/>
    </row>
    <row r="34" spans="1:7" ht="16" customHeight="1">
      <c r="A34" s="112" t="s">
        <v>263</v>
      </c>
      <c r="B34" s="126">
        <v>60.518999999999998</v>
      </c>
      <c r="C34" s="384">
        <v>388.005</v>
      </c>
      <c r="D34" s="126">
        <v>515.23099999999999</v>
      </c>
      <c r="E34" s="126">
        <v>610</v>
      </c>
      <c r="F34" s="126">
        <v>587</v>
      </c>
      <c r="G34" s="126"/>
    </row>
    <row r="35" spans="1:7" ht="16" customHeight="1">
      <c r="A35" s="110" t="s">
        <v>264</v>
      </c>
      <c r="B35" s="110">
        <v>218.38300000000001</v>
      </c>
      <c r="C35" s="385">
        <v>452.459</v>
      </c>
      <c r="D35" s="122">
        <v>531.66499999999996</v>
      </c>
      <c r="E35" s="122">
        <v>584</v>
      </c>
      <c r="F35" s="122">
        <v>602</v>
      </c>
      <c r="G35" s="122"/>
    </row>
    <row r="36" spans="1:7" ht="16" customHeight="1">
      <c r="A36" s="108" t="s">
        <v>265</v>
      </c>
      <c r="B36" s="108">
        <v>-157.864</v>
      </c>
      <c r="C36" s="386">
        <v>-64.453999999999994</v>
      </c>
      <c r="D36" s="121">
        <v>-16.434000000000001</v>
      </c>
      <c r="E36" s="123">
        <v>26</v>
      </c>
      <c r="F36" s="123">
        <v>-15</v>
      </c>
      <c r="G36" s="123"/>
    </row>
    <row r="37" spans="1:7" ht="16" customHeight="1">
      <c r="A37" s="110" t="s">
        <v>266</v>
      </c>
      <c r="B37" s="122">
        <v>524.20899999999995</v>
      </c>
      <c r="C37" s="385">
        <v>1358.768</v>
      </c>
      <c r="D37" s="122">
        <v>1770.124</v>
      </c>
      <c r="E37" s="122">
        <v>1955</v>
      </c>
      <c r="F37" s="122">
        <v>1828</v>
      </c>
      <c r="G37" s="122"/>
    </row>
    <row r="38" spans="1:7" ht="16" customHeight="1">
      <c r="A38" s="112" t="s">
        <v>31</v>
      </c>
      <c r="B38" s="126">
        <v>524.20899999999995</v>
      </c>
      <c r="C38" s="384">
        <v>1358.768</v>
      </c>
      <c r="D38" s="126">
        <v>1770.124</v>
      </c>
      <c r="E38" s="126">
        <v>1955</v>
      </c>
      <c r="F38" s="126">
        <v>1828</v>
      </c>
      <c r="G38" s="126"/>
    </row>
    <row r="39" spans="1:7" ht="16" customHeight="1">
      <c r="A39" s="110" t="s">
        <v>267</v>
      </c>
      <c r="B39" s="122">
        <v>524.20899999999995</v>
      </c>
      <c r="C39" s="385">
        <v>1358.768</v>
      </c>
      <c r="D39" s="122">
        <v>1770.124</v>
      </c>
      <c r="E39" s="122">
        <v>1955</v>
      </c>
      <c r="F39" s="122">
        <v>1828</v>
      </c>
      <c r="G39" s="122"/>
    </row>
    <row r="40" spans="1:7" ht="16" customHeight="1">
      <c r="A40" s="112" t="s">
        <v>268</v>
      </c>
      <c r="B40" s="112"/>
      <c r="C40" s="283"/>
      <c r="D40" s="112"/>
      <c r="E40" s="112"/>
      <c r="F40" s="112"/>
      <c r="G40" s="112"/>
    </row>
    <row r="41" spans="1:7" ht="16" customHeight="1">
      <c r="A41" s="110" t="s">
        <v>269</v>
      </c>
      <c r="B41" s="128">
        <v>1.6982809999999999</v>
      </c>
      <c r="C41" s="389">
        <v>3.0310480000000002</v>
      </c>
      <c r="D41" s="128">
        <v>3.594624</v>
      </c>
      <c r="E41" s="128">
        <v>4.2991789999999996</v>
      </c>
      <c r="F41" s="128">
        <v>4.4121819999999996</v>
      </c>
      <c r="G41" s="128"/>
    </row>
    <row r="42" spans="1:7" ht="16" customHeight="1">
      <c r="A42" s="112" t="s">
        <v>270</v>
      </c>
      <c r="B42" s="129">
        <v>1.0265</v>
      </c>
      <c r="C42" s="390">
        <v>2.661</v>
      </c>
      <c r="D42" s="129">
        <v>3.4889000000000001</v>
      </c>
      <c r="E42" s="129">
        <v>3.9003000000000001</v>
      </c>
      <c r="F42" s="129">
        <v>3.7448000000000001</v>
      </c>
      <c r="G42" s="129"/>
    </row>
    <row r="43" spans="1:7" ht="16" customHeight="1">
      <c r="A43" s="110" t="s">
        <v>271</v>
      </c>
      <c r="B43" s="128">
        <v>510.69639799999999</v>
      </c>
      <c r="C43" s="389">
        <v>510.63064500000002</v>
      </c>
      <c r="D43" s="128">
        <v>507.36291299999999</v>
      </c>
      <c r="E43" s="128">
        <v>501.23842200000001</v>
      </c>
      <c r="F43" s="128">
        <v>488.14433300000002</v>
      </c>
      <c r="G43" s="128"/>
    </row>
    <row r="44" spans="1:7" ht="16" customHeight="1">
      <c r="A44" s="108" t="s">
        <v>272</v>
      </c>
      <c r="B44" s="107">
        <v>511.35788700000001</v>
      </c>
      <c r="C44" s="389">
        <v>508.64335699999998</v>
      </c>
      <c r="D44" s="107">
        <v>505.11206600000003</v>
      </c>
      <c r="E44" s="107">
        <v>491.75821500000001</v>
      </c>
      <c r="F44" s="107">
        <v>477.496242</v>
      </c>
      <c r="G44" s="107"/>
    </row>
    <row r="45" spans="1:7" ht="16" customHeight="1">
      <c r="A45" s="116" t="s">
        <v>273</v>
      </c>
      <c r="B45" s="127">
        <v>1.0207999999999999</v>
      </c>
      <c r="C45" s="390">
        <v>2.6435</v>
      </c>
      <c r="D45" s="127">
        <v>3.4727000000000001</v>
      </c>
      <c r="E45" s="127">
        <v>3.8858999999999999</v>
      </c>
      <c r="F45" s="127">
        <v>3.7319</v>
      </c>
      <c r="G45" s="127"/>
    </row>
    <row r="46" spans="1:7" ht="16" customHeight="1">
      <c r="A46" s="108" t="s">
        <v>274</v>
      </c>
      <c r="B46" s="107">
        <v>513.55508799999996</v>
      </c>
      <c r="C46" s="389">
        <v>514.00582699999995</v>
      </c>
      <c r="D46" s="107">
        <v>509.71975600000002</v>
      </c>
      <c r="E46" s="107">
        <v>503.09608600000001</v>
      </c>
      <c r="F46" s="107">
        <v>489.825648</v>
      </c>
      <c r="G46" s="107"/>
    </row>
    <row r="47" spans="1:7" ht="16" customHeight="1">
      <c r="A47" s="110" t="s">
        <v>272</v>
      </c>
      <c r="B47" s="128">
        <v>511.35788700000001</v>
      </c>
      <c r="C47" s="389">
        <v>508.64335699999998</v>
      </c>
      <c r="D47" s="128">
        <v>505.11206600000003</v>
      </c>
      <c r="E47" s="128">
        <v>491.75821500000001</v>
      </c>
      <c r="F47" s="128">
        <v>477.496242</v>
      </c>
      <c r="G47" s="128"/>
    </row>
    <row r="48" spans="1:7" ht="16" customHeight="1">
      <c r="A48" s="108" t="s">
        <v>275</v>
      </c>
      <c r="B48" s="108">
        <v>88.248999999999995</v>
      </c>
      <c r="C48" s="389">
        <v>81.757000000000005</v>
      </c>
      <c r="D48" s="107">
        <v>90.736999999999995</v>
      </c>
      <c r="E48" s="107">
        <v>84.370999999999995</v>
      </c>
      <c r="F48" s="107">
        <v>90.015000000000001</v>
      </c>
      <c r="G48" s="107"/>
    </row>
    <row r="49" spans="1:7" ht="16" customHeight="1">
      <c r="A49" s="116" t="s">
        <v>276</v>
      </c>
      <c r="B49" s="127">
        <v>1.82</v>
      </c>
      <c r="C49" s="390">
        <v>1.9</v>
      </c>
      <c r="D49" s="127">
        <v>1.97</v>
      </c>
      <c r="E49" s="127">
        <v>2.0099999999999998</v>
      </c>
      <c r="F49" s="127">
        <v>2.0699999999999998</v>
      </c>
      <c r="G49" s="127"/>
    </row>
    <row r="50" spans="1:7" ht="16" customHeight="1">
      <c r="A50" s="108" t="s">
        <v>277</v>
      </c>
      <c r="B50" s="107">
        <v>178.29153600000001</v>
      </c>
      <c r="C50" s="389">
        <v>71.874409</v>
      </c>
      <c r="D50" s="107">
        <v>56.728194000000002</v>
      </c>
      <c r="E50" s="107">
        <v>51.725468999999997</v>
      </c>
      <c r="F50" s="107">
        <v>55.467723999999997</v>
      </c>
      <c r="G50" s="107"/>
    </row>
    <row r="51" spans="1:7" ht="16" customHeight="1">
      <c r="A51" s="116" t="s">
        <v>163</v>
      </c>
      <c r="B51" s="116"/>
      <c r="C51" s="283"/>
      <c r="D51" s="116"/>
      <c r="E51" s="116"/>
      <c r="F51" s="116"/>
      <c r="G51" s="116"/>
    </row>
    <row r="52" spans="1:7" ht="16" customHeight="1">
      <c r="A52" s="112" t="s">
        <v>163</v>
      </c>
      <c r="B52" s="126">
        <v>2443.5369999999998</v>
      </c>
      <c r="C52" s="384">
        <v>3311.451</v>
      </c>
      <c r="D52" s="126">
        <v>4030.6039999999998</v>
      </c>
      <c r="E52" s="126">
        <v>4476</v>
      </c>
      <c r="F52" s="126">
        <v>4598</v>
      </c>
      <c r="G52" s="126"/>
    </row>
    <row r="53" spans="1:7" ht="16" customHeight="1">
      <c r="A53" s="110" t="s">
        <v>165</v>
      </c>
      <c r="B53" s="122">
        <v>1591.1310000000001</v>
      </c>
      <c r="C53" s="385">
        <v>2429.799</v>
      </c>
      <c r="D53" s="122">
        <v>3141.431</v>
      </c>
      <c r="E53" s="122">
        <v>3482</v>
      </c>
      <c r="F53" s="122">
        <v>3512</v>
      </c>
      <c r="G53" s="122"/>
    </row>
    <row r="54" spans="1:7" ht="16" customHeight="1">
      <c r="A54" s="108" t="s">
        <v>244</v>
      </c>
      <c r="B54" s="121">
        <v>852.40599999999995</v>
      </c>
      <c r="C54" s="385">
        <v>881.65200000000004</v>
      </c>
      <c r="D54" s="121">
        <v>889.173</v>
      </c>
      <c r="E54" s="121">
        <v>994</v>
      </c>
      <c r="F54" s="121">
        <v>1086</v>
      </c>
      <c r="G54" s="121"/>
    </row>
    <row r="55" spans="1:7" ht="16" customHeight="1">
      <c r="A55" s="106" t="s">
        <v>278</v>
      </c>
    </row>
    <row r="57" spans="1:7" ht="20" customHeight="1">
      <c r="A57" s="119" t="s">
        <v>279</v>
      </c>
      <c r="B57" s="119"/>
      <c r="C57" s="383"/>
      <c r="D57" s="119"/>
      <c r="E57" s="119"/>
      <c r="F57" s="119"/>
    </row>
    <row r="58" spans="1:7" ht="20" customHeight="1">
      <c r="A58" s="118"/>
      <c r="B58" s="118" t="s">
        <v>5</v>
      </c>
      <c r="C58" s="383" t="s">
        <v>4</v>
      </c>
      <c r="D58" s="118" t="s">
        <v>3</v>
      </c>
      <c r="E58" s="118" t="s">
        <v>2</v>
      </c>
      <c r="F58" s="118" t="s">
        <v>1</v>
      </c>
    </row>
    <row r="59" spans="1:7" ht="20" customHeight="1">
      <c r="A59" s="112" t="s">
        <v>280</v>
      </c>
      <c r="B59" s="112"/>
      <c r="C59" s="283"/>
      <c r="D59" s="112"/>
      <c r="E59" s="112"/>
      <c r="F59" s="112"/>
    </row>
    <row r="60" spans="1:7" ht="20" customHeight="1">
      <c r="A60" s="116" t="s">
        <v>281</v>
      </c>
      <c r="B60" s="125">
        <v>3007.123</v>
      </c>
      <c r="C60" s="384">
        <v>867.08600000000001</v>
      </c>
      <c r="D60" s="125">
        <v>745.20100000000002</v>
      </c>
      <c r="E60" s="125">
        <v>696</v>
      </c>
      <c r="F60" s="125">
        <v>1071</v>
      </c>
    </row>
    <row r="61" spans="1:7" ht="20" customHeight="1">
      <c r="A61" s="108" t="s">
        <v>282</v>
      </c>
      <c r="B61" s="121">
        <v>3007.123</v>
      </c>
      <c r="C61" s="385">
        <v>867.08600000000001</v>
      </c>
      <c r="D61" s="121">
        <v>745.20100000000002</v>
      </c>
      <c r="E61" s="121">
        <v>696</v>
      </c>
      <c r="F61" s="121">
        <v>1071</v>
      </c>
    </row>
    <row r="62" spans="1:7" ht="20" customHeight="1">
      <c r="A62" s="116" t="s">
        <v>283</v>
      </c>
      <c r="B62" s="125">
        <v>3790.2689999999998</v>
      </c>
      <c r="C62" s="384">
        <v>4874.8459999999995</v>
      </c>
      <c r="D62" s="125">
        <v>5097.7849999999999</v>
      </c>
      <c r="E62" s="125">
        <v>5346</v>
      </c>
      <c r="F62" s="125">
        <v>5506</v>
      </c>
    </row>
    <row r="63" spans="1:7" ht="20" customHeight="1">
      <c r="A63" s="112" t="s">
        <v>284</v>
      </c>
      <c r="B63" s="126">
        <v>3781.51</v>
      </c>
      <c r="C63" s="384">
        <v>4838.9120000000003</v>
      </c>
      <c r="D63" s="126">
        <v>5091.97</v>
      </c>
      <c r="E63" s="126">
        <v>5324</v>
      </c>
      <c r="F63" s="126">
        <v>5502</v>
      </c>
    </row>
    <row r="64" spans="1:7" ht="20" customHeight="1">
      <c r="A64" s="110" t="s">
        <v>285</v>
      </c>
      <c r="B64" s="122">
        <v>3899.2049999999999</v>
      </c>
      <c r="C64" s="385">
        <v>4909.7020000000002</v>
      </c>
      <c r="D64" s="122">
        <v>5137.5690000000004</v>
      </c>
      <c r="E64" s="122">
        <v>5378</v>
      </c>
      <c r="F64" s="122">
        <v>5519</v>
      </c>
    </row>
    <row r="65" spans="1:6" ht="20" customHeight="1">
      <c r="A65" s="108" t="s">
        <v>286</v>
      </c>
      <c r="B65" s="123">
        <v>-117.69499999999999</v>
      </c>
      <c r="C65" s="386">
        <v>-70.790000000000006</v>
      </c>
      <c r="D65" s="123">
        <v>-45.598999999999997</v>
      </c>
      <c r="E65" s="123">
        <v>-54</v>
      </c>
      <c r="F65" s="123">
        <v>-17</v>
      </c>
    </row>
    <row r="66" spans="1:6" ht="20" customHeight="1">
      <c r="A66" s="110" t="s">
        <v>287</v>
      </c>
      <c r="B66" s="122">
        <v>8.7590000000000003</v>
      </c>
      <c r="C66" s="385">
        <v>35.933999999999997</v>
      </c>
      <c r="D66" s="122">
        <v>5.8150000000000004</v>
      </c>
      <c r="E66" s="122">
        <v>22</v>
      </c>
      <c r="F66" s="122">
        <v>4</v>
      </c>
    </row>
    <row r="67" spans="1:6" ht="20" customHeight="1">
      <c r="A67" s="112" t="s">
        <v>288</v>
      </c>
      <c r="B67" s="126">
        <v>3695.2190000000001</v>
      </c>
      <c r="C67" s="384">
        <v>4437.4979999999996</v>
      </c>
      <c r="D67" s="126">
        <v>4480.8119999999999</v>
      </c>
      <c r="E67" s="126">
        <v>4678</v>
      </c>
      <c r="F67" s="126">
        <v>5053</v>
      </c>
    </row>
    <row r="68" spans="1:6" ht="20" customHeight="1">
      <c r="A68" s="110" t="s">
        <v>289</v>
      </c>
      <c r="B68" s="122">
        <v>3695.2190000000001</v>
      </c>
      <c r="C68" s="385">
        <v>4437.4979999999996</v>
      </c>
      <c r="D68" s="122">
        <v>4480.8119999999999</v>
      </c>
      <c r="E68" s="122">
        <v>4678</v>
      </c>
      <c r="F68" s="122">
        <v>5053</v>
      </c>
    </row>
    <row r="69" spans="1:6" ht="20" customHeight="1">
      <c r="A69" s="112" t="s">
        <v>290</v>
      </c>
      <c r="B69" s="126">
        <v>240.95599999999999</v>
      </c>
      <c r="C69" s="384">
        <v>303.78899999999999</v>
      </c>
      <c r="D69" s="126">
        <v>284.56599999999997</v>
      </c>
      <c r="E69" s="126">
        <v>323</v>
      </c>
      <c r="F69" s="126">
        <v>338</v>
      </c>
    </row>
    <row r="70" spans="1:6" ht="20" customHeight="1">
      <c r="A70" s="110" t="s">
        <v>291</v>
      </c>
      <c r="B70" s="122">
        <v>240.95599999999999</v>
      </c>
      <c r="C70" s="385">
        <v>303.78899999999999</v>
      </c>
      <c r="D70" s="122">
        <v>284.56599999999997</v>
      </c>
      <c r="E70" s="122">
        <v>323</v>
      </c>
      <c r="F70" s="122">
        <v>338</v>
      </c>
    </row>
    <row r="71" spans="1:6" ht="20" customHeight="1">
      <c r="A71" s="108" t="s">
        <v>292</v>
      </c>
      <c r="B71" s="121">
        <v>10733.566999999999</v>
      </c>
      <c r="C71" s="385">
        <v>10483.218999999999</v>
      </c>
      <c r="D71" s="121">
        <v>10608.364</v>
      </c>
      <c r="E71" s="121">
        <v>11043</v>
      </c>
      <c r="F71" s="121">
        <v>11968</v>
      </c>
    </row>
    <row r="72" spans="1:6" ht="20" customHeight="1">
      <c r="A72" s="116" t="s">
        <v>293</v>
      </c>
      <c r="B72" s="125">
        <v>5035.2259999999997</v>
      </c>
      <c r="C72" s="384">
        <v>5179.7169999999996</v>
      </c>
      <c r="D72" s="125">
        <v>5646.8149999999996</v>
      </c>
      <c r="E72" s="125">
        <v>6420</v>
      </c>
      <c r="F72" s="125">
        <v>7215</v>
      </c>
    </row>
    <row r="73" spans="1:6" ht="20" customHeight="1">
      <c r="A73" s="112" t="s">
        <v>294</v>
      </c>
      <c r="B73" s="126">
        <v>11382.634</v>
      </c>
      <c r="C73" s="384">
        <v>11934.736000000001</v>
      </c>
      <c r="D73" s="126">
        <v>12796.125</v>
      </c>
      <c r="E73" s="126">
        <v>13946</v>
      </c>
      <c r="F73" s="126">
        <v>15095</v>
      </c>
    </row>
    <row r="74" spans="1:6" ht="20" customHeight="1">
      <c r="A74" s="110" t="s">
        <v>295</v>
      </c>
      <c r="B74" s="122">
        <v>4984.3549999999996</v>
      </c>
      <c r="C74" s="385">
        <v>5335.4459999999999</v>
      </c>
      <c r="D74" s="122">
        <v>5768.7150000000001</v>
      </c>
      <c r="E74" s="122">
        <v>5976</v>
      </c>
      <c r="F74" s="122">
        <v>6217</v>
      </c>
    </row>
    <row r="75" spans="1:6" ht="20" customHeight="1">
      <c r="A75" s="108" t="s">
        <v>296</v>
      </c>
      <c r="B75" s="121">
        <v>492.50400000000002</v>
      </c>
      <c r="C75" s="385">
        <v>489.55599999999998</v>
      </c>
      <c r="D75" s="121">
        <v>493.05099999999999</v>
      </c>
      <c r="E75" s="121">
        <v>490</v>
      </c>
      <c r="F75" s="121">
        <v>492</v>
      </c>
    </row>
    <row r="76" spans="1:6" ht="20" customHeight="1">
      <c r="A76" s="110" t="s">
        <v>297</v>
      </c>
      <c r="B76" s="122">
        <v>1419.4970000000001</v>
      </c>
      <c r="C76" s="385">
        <v>1499.5139999999999</v>
      </c>
      <c r="D76" s="122">
        <v>1587.229</v>
      </c>
      <c r="E76" s="122">
        <v>1769</v>
      </c>
      <c r="F76" s="122">
        <v>2085</v>
      </c>
    </row>
    <row r="77" spans="1:6" ht="20" customHeight="1">
      <c r="A77" s="108" t="s">
        <v>298</v>
      </c>
      <c r="B77" s="121">
        <v>3777.1149999999998</v>
      </c>
      <c r="C77" s="385">
        <v>3886.9229999999998</v>
      </c>
      <c r="D77" s="121">
        <v>4215.3639999999996</v>
      </c>
      <c r="E77" s="121">
        <v>4788</v>
      </c>
      <c r="F77" s="121">
        <v>5170</v>
      </c>
    </row>
    <row r="78" spans="1:6" ht="20" customHeight="1">
      <c r="A78" s="110" t="s">
        <v>299</v>
      </c>
      <c r="B78" s="122">
        <v>709.16300000000001</v>
      </c>
      <c r="C78" s="385">
        <v>723.29700000000003</v>
      </c>
      <c r="D78" s="122">
        <v>731.76599999999996</v>
      </c>
      <c r="E78" s="122">
        <v>923</v>
      </c>
      <c r="F78" s="122">
        <v>1131</v>
      </c>
    </row>
    <row r="79" spans="1:6" ht="20" customHeight="1">
      <c r="A79" s="108" t="s">
        <v>300</v>
      </c>
      <c r="B79" s="121">
        <v>6347.4080000000004</v>
      </c>
      <c r="C79" s="385">
        <v>6755.0190000000002</v>
      </c>
      <c r="D79" s="121">
        <v>7149.31</v>
      </c>
      <c r="E79" s="121">
        <v>7526</v>
      </c>
      <c r="F79" s="121">
        <v>7880</v>
      </c>
    </row>
    <row r="80" spans="1:6" ht="20" customHeight="1">
      <c r="A80" s="116" t="s">
        <v>301</v>
      </c>
      <c r="B80" s="125">
        <v>73.194000000000003</v>
      </c>
      <c r="C80" s="384">
        <v>64.290000000000006</v>
      </c>
      <c r="D80" s="125">
        <v>220.93299999999999</v>
      </c>
      <c r="E80" s="125">
        <v>256</v>
      </c>
      <c r="F80" s="125">
        <v>363</v>
      </c>
    </row>
    <row r="81" spans="1:6" ht="20" customHeight="1">
      <c r="A81" s="108" t="s">
        <v>302</v>
      </c>
      <c r="B81" s="121">
        <v>73.194000000000003</v>
      </c>
      <c r="C81" s="385">
        <v>64.290000000000006</v>
      </c>
      <c r="D81" s="121">
        <v>220.93299999999999</v>
      </c>
      <c r="E81" s="121">
        <v>256</v>
      </c>
      <c r="F81" s="121">
        <v>363</v>
      </c>
    </row>
    <row r="82" spans="1:6" ht="20" customHeight="1">
      <c r="A82" s="116" t="s">
        <v>303</v>
      </c>
      <c r="B82" s="125">
        <v>4690.2120000000004</v>
      </c>
      <c r="C82" s="384">
        <v>5494.9979999999996</v>
      </c>
      <c r="D82" s="125">
        <v>5505.2839999999997</v>
      </c>
      <c r="E82" s="125">
        <v>6341</v>
      </c>
      <c r="F82" s="125">
        <v>6311</v>
      </c>
    </row>
    <row r="83" spans="1:6" ht="20" customHeight="1">
      <c r="A83" s="108" t="s">
        <v>255</v>
      </c>
      <c r="B83" s="121">
        <v>3944.1390000000001</v>
      </c>
      <c r="C83" s="385">
        <v>4542.3149999999996</v>
      </c>
      <c r="D83" s="121">
        <v>4645.7539999999999</v>
      </c>
      <c r="E83" s="121">
        <v>5153</v>
      </c>
      <c r="F83" s="121">
        <v>5231</v>
      </c>
    </row>
    <row r="84" spans="1:6" ht="20" customHeight="1">
      <c r="A84" s="110" t="s">
        <v>304</v>
      </c>
      <c r="B84" s="122">
        <v>746.07299999999998</v>
      </c>
      <c r="C84" s="385">
        <v>952.68299999999999</v>
      </c>
      <c r="D84" s="122">
        <v>859.53</v>
      </c>
      <c r="E84" s="122">
        <v>1188</v>
      </c>
      <c r="F84" s="122">
        <v>1080</v>
      </c>
    </row>
    <row r="85" spans="1:6" ht="20" customHeight="1">
      <c r="A85" s="108" t="s">
        <v>305</v>
      </c>
      <c r="B85" s="121">
        <v>352.52300000000002</v>
      </c>
      <c r="C85" s="385">
        <v>377.60399999999998</v>
      </c>
      <c r="D85" s="121">
        <v>420.45</v>
      </c>
      <c r="E85" s="121">
        <v>445</v>
      </c>
      <c r="F85" s="121">
        <v>497</v>
      </c>
    </row>
    <row r="86" spans="1:6" ht="20" customHeight="1">
      <c r="A86" s="116" t="s">
        <v>306</v>
      </c>
      <c r="B86" s="125">
        <v>528.81700000000001</v>
      </c>
      <c r="C86" s="384">
        <v>485.86</v>
      </c>
      <c r="D86" s="125">
        <v>419.29899999999998</v>
      </c>
      <c r="E86" s="125">
        <v>412</v>
      </c>
      <c r="F86" s="125">
        <v>420</v>
      </c>
    </row>
    <row r="87" spans="1:6" ht="20" customHeight="1">
      <c r="A87" s="108" t="s">
        <v>307</v>
      </c>
      <c r="B87" s="108">
        <v>124.453</v>
      </c>
      <c r="C87" s="387"/>
      <c r="D87" s="108"/>
      <c r="E87" s="108"/>
      <c r="F87" s="121"/>
    </row>
    <row r="88" spans="1:6" ht="20" customHeight="1">
      <c r="A88" s="110" t="s">
        <v>308</v>
      </c>
      <c r="B88" s="122">
        <v>404.36399999999998</v>
      </c>
      <c r="C88" s="385">
        <v>485.86</v>
      </c>
      <c r="D88" s="122">
        <v>419.29899999999998</v>
      </c>
      <c r="E88" s="122">
        <v>412</v>
      </c>
      <c r="F88" s="122">
        <v>420</v>
      </c>
    </row>
    <row r="89" spans="1:6" ht="20" customHeight="1">
      <c r="A89" s="108" t="s">
        <v>309</v>
      </c>
      <c r="B89" s="121">
        <v>21413.539000000001</v>
      </c>
      <c r="C89" s="385">
        <v>22085.687999999998</v>
      </c>
      <c r="D89" s="121">
        <v>22821.145</v>
      </c>
      <c r="E89" s="121">
        <v>24917</v>
      </c>
      <c r="F89" s="121">
        <v>26774</v>
      </c>
    </row>
    <row r="90" spans="1:6" ht="20" customHeight="1">
      <c r="A90" s="116" t="s">
        <v>107</v>
      </c>
      <c r="B90" s="116"/>
      <c r="C90" s="283"/>
      <c r="D90" s="116"/>
      <c r="E90" s="116"/>
      <c r="F90" s="116"/>
    </row>
    <row r="91" spans="1:6" ht="20" customHeight="1">
      <c r="A91" s="112" t="s">
        <v>108</v>
      </c>
      <c r="B91" s="112"/>
      <c r="C91" s="283"/>
      <c r="D91" s="112"/>
      <c r="E91" s="112"/>
      <c r="F91" s="112"/>
    </row>
    <row r="92" spans="1:6" ht="20" customHeight="1">
      <c r="A92" s="110" t="s">
        <v>109</v>
      </c>
      <c r="B92" s="122">
        <v>597.58199999999999</v>
      </c>
      <c r="C92" s="385">
        <v>686.30100000000004</v>
      </c>
      <c r="D92" s="122">
        <v>161.601</v>
      </c>
      <c r="E92" s="122">
        <v>594</v>
      </c>
      <c r="F92" s="433">
        <v>1085</v>
      </c>
    </row>
    <row r="93" spans="1:6" ht="20" customHeight="1">
      <c r="A93" s="108" t="s">
        <v>110</v>
      </c>
      <c r="B93" s="121">
        <v>4884.7809999999999</v>
      </c>
      <c r="C93" s="385">
        <v>5752.9579999999996</v>
      </c>
      <c r="D93" s="121">
        <v>6025.7569999999996</v>
      </c>
      <c r="E93" s="121">
        <v>6290</v>
      </c>
      <c r="F93" s="121">
        <v>6512</v>
      </c>
    </row>
    <row r="94" spans="1:6" ht="20" customHeight="1">
      <c r="A94" s="110" t="s">
        <v>111</v>
      </c>
      <c r="B94" s="122">
        <v>22.643999999999998</v>
      </c>
      <c r="C94" s="385">
        <v>40.042000000000002</v>
      </c>
      <c r="D94" s="122">
        <v>101.89400000000001</v>
      </c>
      <c r="E94" s="122">
        <v>131</v>
      </c>
      <c r="F94" s="122">
        <v>51</v>
      </c>
    </row>
    <row r="95" spans="1:6" ht="20" customHeight="1">
      <c r="A95" s="112" t="s">
        <v>112</v>
      </c>
      <c r="B95" s="126">
        <v>1814.837</v>
      </c>
      <c r="C95" s="384">
        <v>2270.7530000000002</v>
      </c>
      <c r="D95" s="126">
        <v>2251.181</v>
      </c>
      <c r="E95" s="126">
        <v>2226</v>
      </c>
      <c r="F95" s="126">
        <v>2268</v>
      </c>
    </row>
    <row r="96" spans="1:6" ht="20" customHeight="1">
      <c r="A96" s="110" t="s">
        <v>113</v>
      </c>
      <c r="B96" s="122">
        <v>1814.837</v>
      </c>
      <c r="C96" s="385">
        <v>2270.7530000000002</v>
      </c>
      <c r="D96" s="122">
        <v>2251.181</v>
      </c>
      <c r="E96" s="122">
        <v>2226</v>
      </c>
      <c r="F96" s="122">
        <v>2268</v>
      </c>
    </row>
    <row r="97" spans="1:6" ht="20" customHeight="1">
      <c r="A97" s="108" t="s">
        <v>114</v>
      </c>
      <c r="B97" s="121">
        <v>7319.8440000000001</v>
      </c>
      <c r="C97" s="385">
        <v>8750.0540000000001</v>
      </c>
      <c r="D97" s="121">
        <v>8540.4330000000009</v>
      </c>
      <c r="E97" s="121">
        <v>9241</v>
      </c>
      <c r="F97" s="121">
        <v>9916</v>
      </c>
    </row>
    <row r="98" spans="1:6" ht="20" customHeight="1">
      <c r="A98" s="116" t="s">
        <v>115</v>
      </c>
      <c r="B98" s="116"/>
      <c r="C98" s="283"/>
      <c r="D98" s="116"/>
      <c r="E98" s="116"/>
      <c r="F98" s="116"/>
    </row>
    <row r="99" spans="1:6" ht="20" customHeight="1">
      <c r="A99" s="112" t="s">
        <v>116</v>
      </c>
      <c r="B99" s="126">
        <v>11222.665000000001</v>
      </c>
      <c r="C99" s="384">
        <v>10703.348</v>
      </c>
      <c r="D99" s="126">
        <v>11004.266</v>
      </c>
      <c r="E99" s="126">
        <v>12351</v>
      </c>
      <c r="F99" s="434">
        <v>13409</v>
      </c>
    </row>
    <row r="100" spans="1:6" ht="20" customHeight="1">
      <c r="A100" s="110" t="s">
        <v>117</v>
      </c>
      <c r="B100" s="122">
        <v>10536.902</v>
      </c>
      <c r="C100" s="385">
        <v>9879.7060000000001</v>
      </c>
      <c r="D100" s="122">
        <v>10088.11</v>
      </c>
      <c r="E100" s="122">
        <v>11206</v>
      </c>
      <c r="F100" s="122">
        <v>11973</v>
      </c>
    </row>
    <row r="101" spans="1:6" ht="20" customHeight="1">
      <c r="A101" s="108" t="s">
        <v>118</v>
      </c>
      <c r="B101" s="121">
        <v>685.76300000000003</v>
      </c>
      <c r="C101" s="385">
        <v>823.64200000000005</v>
      </c>
      <c r="D101" s="121">
        <v>916.15599999999995</v>
      </c>
      <c r="E101" s="121">
        <v>1145</v>
      </c>
      <c r="F101" s="121">
        <v>1436</v>
      </c>
    </row>
    <row r="102" spans="1:6" ht="20" customHeight="1">
      <c r="A102" s="110" t="s">
        <v>310</v>
      </c>
      <c r="B102" s="122">
        <v>552.31100000000004</v>
      </c>
      <c r="C102" s="385">
        <v>400.82600000000002</v>
      </c>
      <c r="D102" s="122">
        <v>415.15499999999997</v>
      </c>
      <c r="E102" s="122">
        <v>498</v>
      </c>
      <c r="F102" s="122">
        <v>509</v>
      </c>
    </row>
    <row r="103" spans="1:6" ht="20" customHeight="1">
      <c r="A103" s="108" t="s">
        <v>311</v>
      </c>
      <c r="B103" s="121">
        <v>147.066</v>
      </c>
      <c r="C103" s="385">
        <v>250.17099999999999</v>
      </c>
      <c r="D103" s="121">
        <v>302.904</v>
      </c>
      <c r="E103" s="121">
        <v>345</v>
      </c>
      <c r="F103" s="121">
        <v>345</v>
      </c>
    </row>
    <row r="104" spans="1:6" ht="20" customHeight="1">
      <c r="A104" s="116" t="s">
        <v>312</v>
      </c>
      <c r="B104" s="125">
        <v>584.16899999999998</v>
      </c>
      <c r="C104" s="384">
        <v>567.08100000000002</v>
      </c>
      <c r="D104" s="125">
        <v>516.553</v>
      </c>
      <c r="E104" s="125">
        <v>591</v>
      </c>
      <c r="F104" s="125">
        <v>738</v>
      </c>
    </row>
    <row r="105" spans="1:6" ht="20" customHeight="1">
      <c r="A105" s="108" t="s">
        <v>313</v>
      </c>
      <c r="B105" s="121">
        <v>584.16899999999998</v>
      </c>
      <c r="C105" s="385">
        <v>567.08100000000002</v>
      </c>
      <c r="D105" s="121">
        <v>516.553</v>
      </c>
      <c r="E105" s="121">
        <v>591</v>
      </c>
      <c r="F105" s="121">
        <v>738</v>
      </c>
    </row>
    <row r="106" spans="1:6" ht="20" customHeight="1">
      <c r="A106" s="110" t="s">
        <v>314</v>
      </c>
      <c r="B106" s="122">
        <v>19826.055</v>
      </c>
      <c r="C106" s="385">
        <v>20671.48</v>
      </c>
      <c r="D106" s="122">
        <v>20779.311000000002</v>
      </c>
      <c r="E106" s="122">
        <v>23026</v>
      </c>
      <c r="F106" s="122">
        <v>24917</v>
      </c>
    </row>
    <row r="107" spans="1:6" ht="20" customHeight="1">
      <c r="A107" s="112" t="s">
        <v>315</v>
      </c>
      <c r="B107" s="112"/>
      <c r="C107" s="283"/>
      <c r="D107" s="112"/>
      <c r="E107" s="112"/>
      <c r="F107" s="112"/>
    </row>
    <row r="108" spans="1:6" ht="20" customHeight="1">
      <c r="A108" s="116" t="s">
        <v>316</v>
      </c>
      <c r="B108" s="125">
        <v>1552.896</v>
      </c>
      <c r="C108" s="384">
        <v>1382.26</v>
      </c>
      <c r="D108" s="125">
        <v>2008.6220000000001</v>
      </c>
      <c r="E108" s="125">
        <v>1860</v>
      </c>
      <c r="F108" s="125">
        <v>1830</v>
      </c>
    </row>
    <row r="109" spans="1:6" ht="20" customHeight="1">
      <c r="A109" s="108" t="s">
        <v>317</v>
      </c>
      <c r="B109" s="121">
        <v>765.17499999999995</v>
      </c>
      <c r="C109" s="385">
        <v>765.17499999999995</v>
      </c>
      <c r="D109" s="121">
        <v>765.17499999999995</v>
      </c>
      <c r="E109" s="121">
        <v>765</v>
      </c>
      <c r="F109" s="121">
        <v>765</v>
      </c>
    </row>
    <row r="110" spans="1:6" ht="20" customHeight="1">
      <c r="A110" s="110" t="s">
        <v>318</v>
      </c>
      <c r="B110" s="122">
        <v>1619.9949999999999</v>
      </c>
      <c r="C110" s="385">
        <v>1766.3050000000001</v>
      </c>
      <c r="D110" s="122">
        <v>1814.681</v>
      </c>
      <c r="E110" s="122">
        <v>1908</v>
      </c>
      <c r="F110" s="122">
        <v>1986</v>
      </c>
    </row>
    <row r="111" spans="1:6" ht="20" customHeight="1">
      <c r="A111" s="108" t="s">
        <v>319</v>
      </c>
      <c r="B111" s="121">
        <v>10151.706</v>
      </c>
      <c r="C111" s="385">
        <v>10539.722</v>
      </c>
      <c r="D111" s="121">
        <v>11310.664000000001</v>
      </c>
      <c r="E111" s="121">
        <v>12260</v>
      </c>
      <c r="F111" s="121">
        <v>13061</v>
      </c>
    </row>
    <row r="112" spans="1:6" ht="20" customHeight="1">
      <c r="A112" s="110" t="s">
        <v>320</v>
      </c>
      <c r="B112" s="124">
        <v>-40.091999999999999</v>
      </c>
      <c r="C112" s="386">
        <v>-501.517</v>
      </c>
      <c r="D112" s="124">
        <v>-374.29</v>
      </c>
      <c r="E112" s="124">
        <v>-407</v>
      </c>
      <c r="F112" s="124">
        <v>-120</v>
      </c>
    </row>
    <row r="113" spans="1:7" ht="20" customHeight="1">
      <c r="A113" s="108" t="s">
        <v>321</v>
      </c>
      <c r="B113" s="123">
        <v>4.415</v>
      </c>
      <c r="C113" s="386">
        <v>-4.9720000000000004</v>
      </c>
      <c r="D113" s="123">
        <v>-6.7930000000000001</v>
      </c>
      <c r="E113" s="123">
        <v>-5</v>
      </c>
      <c r="F113" s="121">
        <v>-1</v>
      </c>
    </row>
    <row r="114" spans="1:7" ht="20" customHeight="1">
      <c r="A114" s="110" t="s">
        <v>322</v>
      </c>
      <c r="B114" s="124">
        <v>-1113.087</v>
      </c>
      <c r="C114" s="386">
        <v>-975.56500000000005</v>
      </c>
      <c r="D114" s="124">
        <v>-871.50699999999995</v>
      </c>
      <c r="E114" s="124">
        <v>-927</v>
      </c>
      <c r="F114" s="124">
        <v>-977</v>
      </c>
    </row>
    <row r="115" spans="1:7" ht="20" customHeight="1">
      <c r="A115" s="108" t="s">
        <v>323</v>
      </c>
      <c r="B115" s="123">
        <v>-9835.2160000000003</v>
      </c>
      <c r="C115" s="386">
        <v>-10206.888000000001</v>
      </c>
      <c r="D115" s="123">
        <v>-10629.308000000001</v>
      </c>
      <c r="E115" s="123">
        <v>-11734</v>
      </c>
      <c r="F115" s="123">
        <v>-12884</v>
      </c>
    </row>
    <row r="116" spans="1:7" ht="20" customHeight="1">
      <c r="A116" s="110" t="s">
        <v>324</v>
      </c>
      <c r="B116" s="122">
        <v>1552.896</v>
      </c>
      <c r="C116" s="385">
        <v>1382.26</v>
      </c>
      <c r="D116" s="122">
        <v>2008.6220000000001</v>
      </c>
      <c r="E116" s="122">
        <v>1860</v>
      </c>
      <c r="F116" s="122">
        <v>1830</v>
      </c>
    </row>
    <row r="117" spans="1:7" ht="20" customHeight="1">
      <c r="A117" s="108" t="s">
        <v>325</v>
      </c>
      <c r="B117" s="121">
        <v>34.588000000000001</v>
      </c>
      <c r="C117" s="385">
        <v>31.948</v>
      </c>
      <c r="D117" s="121">
        <v>33.212000000000003</v>
      </c>
      <c r="E117" s="121">
        <v>31</v>
      </c>
      <c r="F117" s="121">
        <v>27</v>
      </c>
    </row>
    <row r="118" spans="1:7" ht="20" customHeight="1">
      <c r="A118" s="110" t="s">
        <v>326</v>
      </c>
      <c r="B118" s="122">
        <v>1587.4839999999999</v>
      </c>
      <c r="C118" s="385">
        <v>1414.2080000000001</v>
      </c>
      <c r="D118" s="122">
        <v>2041.8340000000001</v>
      </c>
      <c r="E118" s="122">
        <v>1891</v>
      </c>
      <c r="F118" s="122">
        <v>1857</v>
      </c>
    </row>
    <row r="119" spans="1:7" ht="20" customHeight="1">
      <c r="A119" s="108" t="s">
        <v>327</v>
      </c>
      <c r="B119" s="121">
        <v>21413.539000000001</v>
      </c>
      <c r="C119" s="385">
        <v>22085.687999999998</v>
      </c>
      <c r="D119" s="121">
        <v>22821.145</v>
      </c>
      <c r="E119" s="121">
        <v>24917</v>
      </c>
      <c r="F119" s="121">
        <v>26774</v>
      </c>
    </row>
    <row r="120" spans="1:7" ht="20" customHeight="1">
      <c r="A120" s="116" t="s">
        <v>268</v>
      </c>
      <c r="B120" s="116"/>
      <c r="C120" s="283"/>
      <c r="D120" s="116"/>
      <c r="E120" s="116"/>
      <c r="F120" s="116"/>
    </row>
    <row r="121" spans="1:7" ht="20" customHeight="1">
      <c r="A121" s="108" t="s">
        <v>328</v>
      </c>
      <c r="B121" s="107">
        <v>3.03681</v>
      </c>
      <c r="C121" s="389">
        <v>2.7175400000000001</v>
      </c>
      <c r="D121" s="107">
        <v>3.9765899999999998</v>
      </c>
      <c r="E121" s="107">
        <v>3.7823500000000001</v>
      </c>
      <c r="F121" s="107">
        <v>3.83249</v>
      </c>
    </row>
    <row r="122" spans="1:7" ht="20" customHeight="1">
      <c r="A122" s="110" t="s">
        <v>329</v>
      </c>
      <c r="B122" s="120">
        <v>-6.1352650000000004</v>
      </c>
      <c r="C122" s="391">
        <v>-8.0857010000000002</v>
      </c>
      <c r="D122" s="120">
        <v>-6.9225469999999998</v>
      </c>
      <c r="E122" s="120">
        <v>-9.1122019999999999</v>
      </c>
      <c r="F122" s="120">
        <v>-9.3843669999999992</v>
      </c>
    </row>
    <row r="123" spans="1:7" ht="20" customHeight="1">
      <c r="A123" s="106" t="s">
        <v>278</v>
      </c>
    </row>
    <row r="125" spans="1:7" ht="20" customHeight="1">
      <c r="A125" s="119" t="s">
        <v>330</v>
      </c>
      <c r="B125" s="119"/>
      <c r="C125" s="383"/>
      <c r="D125" s="119"/>
      <c r="E125" s="119"/>
      <c r="F125" s="119"/>
      <c r="G125" s="119"/>
    </row>
    <row r="126" spans="1:7" ht="20" customHeight="1">
      <c r="A126" s="118"/>
      <c r="B126" s="118" t="s">
        <v>5</v>
      </c>
      <c r="C126" s="383" t="s">
        <v>4</v>
      </c>
      <c r="D126" s="118" t="s">
        <v>3</v>
      </c>
      <c r="E126" s="118" t="s">
        <v>2</v>
      </c>
      <c r="F126" s="118" t="s">
        <v>1</v>
      </c>
      <c r="G126" s="118"/>
    </row>
    <row r="127" spans="1:7" ht="20" customHeight="1">
      <c r="A127" s="118"/>
      <c r="B127" s="118"/>
      <c r="C127" s="383"/>
      <c r="D127" s="118"/>
      <c r="E127" s="118"/>
      <c r="F127" s="118"/>
      <c r="G127" s="118"/>
    </row>
    <row r="128" spans="1:7" ht="20" customHeight="1">
      <c r="A128" s="116" t="s">
        <v>331</v>
      </c>
      <c r="B128" s="116"/>
      <c r="C128" s="283"/>
      <c r="D128" s="116"/>
      <c r="E128" s="116"/>
      <c r="F128" s="116"/>
      <c r="G128" s="116"/>
    </row>
    <row r="129" spans="1:8" ht="20" customHeight="1">
      <c r="A129" s="108" t="s">
        <v>332</v>
      </c>
      <c r="B129" s="114">
        <v>524.20899999999995</v>
      </c>
      <c r="C129" s="392">
        <v>1358.768</v>
      </c>
      <c r="D129" s="114">
        <v>1770.124</v>
      </c>
      <c r="E129" s="114">
        <v>1955</v>
      </c>
      <c r="F129" s="114">
        <v>1828</v>
      </c>
      <c r="G129" s="114"/>
    </row>
    <row r="130" spans="1:8" ht="20" customHeight="1">
      <c r="A130" s="188" t="s">
        <v>333</v>
      </c>
      <c r="B130" s="109">
        <v>851.822</v>
      </c>
      <c r="C130" s="392">
        <v>880.93299999999999</v>
      </c>
      <c r="D130" s="109">
        <v>888.67700000000002</v>
      </c>
      <c r="E130" s="109">
        <v>997</v>
      </c>
      <c r="F130" s="109">
        <v>1086</v>
      </c>
      <c r="G130" s="109"/>
      <c r="H130" s="105" t="s">
        <v>334</v>
      </c>
    </row>
    <row r="131" spans="1:8" ht="20" customHeight="1">
      <c r="A131" s="187" t="s">
        <v>335</v>
      </c>
      <c r="B131" s="111">
        <v>-157.864</v>
      </c>
      <c r="C131" s="393">
        <v>-64.453999999999994</v>
      </c>
      <c r="D131" s="111">
        <v>-16.434000000000001</v>
      </c>
      <c r="E131" s="111">
        <v>27</v>
      </c>
      <c r="F131" s="111">
        <v>-13</v>
      </c>
      <c r="G131" s="111"/>
    </row>
    <row r="132" spans="1:8" ht="20" customHeight="1">
      <c r="A132" s="110" t="s">
        <v>336</v>
      </c>
      <c r="B132" s="113">
        <v>-157.864</v>
      </c>
      <c r="C132" s="394">
        <v>-64.453999999999994</v>
      </c>
      <c r="D132" s="109">
        <v>-16.434000000000001</v>
      </c>
      <c r="E132" s="113">
        <v>27</v>
      </c>
      <c r="F132" s="113">
        <v>-13</v>
      </c>
      <c r="G132" s="113"/>
    </row>
    <row r="133" spans="1:8" ht="20" customHeight="1">
      <c r="A133" s="108" t="s">
        <v>337</v>
      </c>
      <c r="B133" s="114">
        <v>269.322</v>
      </c>
      <c r="C133" s="392">
        <v>232.03700000000001</v>
      </c>
      <c r="D133" s="114">
        <v>459.76900000000001</v>
      </c>
      <c r="E133" s="114">
        <v>168</v>
      </c>
      <c r="F133" s="114">
        <v>185</v>
      </c>
      <c r="G133" s="114"/>
    </row>
    <row r="134" spans="1:8" ht="20" customHeight="1">
      <c r="A134" s="110" t="s">
        <v>338</v>
      </c>
      <c r="B134" s="109">
        <v>1487.489</v>
      </c>
      <c r="C134" s="392">
        <v>2407.2840000000001</v>
      </c>
      <c r="D134" s="109">
        <v>3102.136</v>
      </c>
      <c r="E134" s="109">
        <v>3147</v>
      </c>
      <c r="F134" s="109">
        <v>3086</v>
      </c>
      <c r="G134" s="109"/>
    </row>
    <row r="135" spans="1:8" ht="20" customHeight="1">
      <c r="A135" s="187" t="s">
        <v>339</v>
      </c>
      <c r="B135" s="111">
        <v>416.35300000000001</v>
      </c>
      <c r="C135" s="393">
        <v>-615.99800000000005</v>
      </c>
      <c r="D135" s="111">
        <v>-234.53399999999999</v>
      </c>
      <c r="E135" s="111">
        <v>-158</v>
      </c>
      <c r="F135" s="111">
        <v>-576</v>
      </c>
      <c r="G135" s="111"/>
    </row>
    <row r="136" spans="1:8" ht="20" customHeight="1">
      <c r="A136" s="110" t="s">
        <v>340</v>
      </c>
      <c r="B136" s="113">
        <v>-662.34500000000003</v>
      </c>
      <c r="C136" s="394">
        <v>-971.17</v>
      </c>
      <c r="D136" s="113">
        <v>-270.63900000000001</v>
      </c>
      <c r="E136" s="113">
        <v>-110</v>
      </c>
      <c r="F136" s="113">
        <v>-206</v>
      </c>
      <c r="G136" s="113"/>
    </row>
    <row r="137" spans="1:8" ht="20" customHeight="1">
      <c r="A137" s="108" t="s">
        <v>288</v>
      </c>
      <c r="B137" s="115">
        <v>-551.40499999999997</v>
      </c>
      <c r="C137" s="394">
        <v>-708.61</v>
      </c>
      <c r="D137" s="115">
        <v>-22.219000000000001</v>
      </c>
      <c r="E137" s="115">
        <v>-70</v>
      </c>
      <c r="F137" s="115">
        <v>-330</v>
      </c>
      <c r="G137" s="115"/>
    </row>
    <row r="138" spans="1:8" ht="20" customHeight="1">
      <c r="A138" s="110" t="s">
        <v>110</v>
      </c>
      <c r="B138" s="109">
        <v>1459.222</v>
      </c>
      <c r="C138" s="392">
        <v>810.45100000000002</v>
      </c>
      <c r="D138" s="109">
        <v>195.607</v>
      </c>
      <c r="E138" s="109">
        <v>104</v>
      </c>
      <c r="F138" s="109">
        <v>143</v>
      </c>
      <c r="G138" s="109"/>
    </row>
    <row r="139" spans="1:8" ht="20" customHeight="1">
      <c r="A139" s="108" t="s">
        <v>341</v>
      </c>
      <c r="B139" s="115">
        <v>118.953</v>
      </c>
      <c r="C139" s="394">
        <v>-9.7750000000000004</v>
      </c>
      <c r="D139" s="114">
        <v>91.971000000000004</v>
      </c>
      <c r="E139" s="114">
        <v>13</v>
      </c>
      <c r="F139" s="115">
        <v>-62</v>
      </c>
      <c r="G139" s="114"/>
    </row>
    <row r="140" spans="1:8" ht="20" customHeight="1">
      <c r="A140" s="110" t="s">
        <v>342</v>
      </c>
      <c r="B140" s="109">
        <v>167.18100000000001</v>
      </c>
      <c r="C140" s="394">
        <v>423.42899999999997</v>
      </c>
      <c r="D140" s="113">
        <v>22.367999999999999</v>
      </c>
      <c r="E140" s="109">
        <v>-12</v>
      </c>
      <c r="F140" s="109">
        <v>-14</v>
      </c>
      <c r="G140" s="109"/>
    </row>
    <row r="141" spans="1:8" ht="20" customHeight="1">
      <c r="A141" s="108" t="s">
        <v>343</v>
      </c>
      <c r="B141" s="115">
        <v>-115.253</v>
      </c>
      <c r="C141" s="394">
        <v>-160.32300000000001</v>
      </c>
      <c r="D141" s="115">
        <v>-251.62200000000001</v>
      </c>
      <c r="E141" s="115">
        <v>-83</v>
      </c>
      <c r="F141" s="115">
        <v>-107</v>
      </c>
      <c r="G141" s="115"/>
    </row>
    <row r="142" spans="1:8" ht="20" customHeight="1">
      <c r="A142" s="110" t="s">
        <v>344</v>
      </c>
      <c r="B142" s="109">
        <v>1903.8420000000001</v>
      </c>
      <c r="C142" s="392">
        <v>1791.2860000000001</v>
      </c>
      <c r="D142" s="109">
        <v>2867.6019999999999</v>
      </c>
      <c r="E142" s="109">
        <v>2989</v>
      </c>
      <c r="F142" s="109">
        <v>2510</v>
      </c>
      <c r="G142" s="109"/>
    </row>
    <row r="143" spans="1:8" ht="20" customHeight="1">
      <c r="A143" s="112" t="s">
        <v>345</v>
      </c>
      <c r="B143" s="112"/>
      <c r="C143" s="283"/>
      <c r="D143" s="112"/>
      <c r="E143" s="112"/>
      <c r="F143" s="112"/>
      <c r="G143" s="112"/>
    </row>
    <row r="144" spans="1:8" ht="20" customHeight="1">
      <c r="A144" s="187" t="s">
        <v>346</v>
      </c>
      <c r="B144" s="117">
        <v>-470.67599999999999</v>
      </c>
      <c r="C144" s="393">
        <v>-632.80200000000002</v>
      </c>
      <c r="D144" s="117">
        <v>-793.32500000000005</v>
      </c>
      <c r="E144" s="117">
        <v>-832</v>
      </c>
      <c r="F144" s="117">
        <v>-906</v>
      </c>
      <c r="G144" s="117"/>
    </row>
    <row r="145" spans="1:7" ht="20" customHeight="1">
      <c r="A145" s="108" t="s">
        <v>347</v>
      </c>
      <c r="B145" s="115">
        <v>-470.67599999999999</v>
      </c>
      <c r="C145" s="394">
        <v>-632.80200000000002</v>
      </c>
      <c r="D145" s="115">
        <v>-793.32500000000005</v>
      </c>
      <c r="E145" s="115">
        <v>-832</v>
      </c>
      <c r="F145" s="115">
        <v>-906</v>
      </c>
      <c r="G145" s="115"/>
    </row>
    <row r="146" spans="1:7" ht="20" customHeight="1">
      <c r="A146" s="396" t="s">
        <v>348</v>
      </c>
      <c r="B146" s="397">
        <v>0</v>
      </c>
      <c r="C146" s="397">
        <v>-1281.1369999999999</v>
      </c>
      <c r="D146" s="397">
        <v>-37.384</v>
      </c>
      <c r="E146" s="397">
        <v>-1210</v>
      </c>
      <c r="F146" s="397">
        <v>-40</v>
      </c>
      <c r="G146" s="398"/>
    </row>
    <row r="147" spans="1:7" ht="20" customHeight="1">
      <c r="A147" s="108" t="s">
        <v>349</v>
      </c>
      <c r="B147" s="114">
        <v>59.146999999999998</v>
      </c>
      <c r="C147" s="392">
        <v>24.143999999999998</v>
      </c>
      <c r="D147" s="114">
        <v>42.146999999999998</v>
      </c>
      <c r="E147" s="114">
        <v>79</v>
      </c>
      <c r="F147" s="114">
        <v>214</v>
      </c>
      <c r="G147" s="114"/>
    </row>
    <row r="148" spans="1:7" ht="20" customHeight="1">
      <c r="A148" s="116" t="s">
        <v>350</v>
      </c>
      <c r="B148" s="117">
        <v>-17.169</v>
      </c>
      <c r="C148" s="393">
        <v>-2.67</v>
      </c>
      <c r="D148" s="117">
        <v>-4.55</v>
      </c>
      <c r="E148" s="117">
        <v>-4</v>
      </c>
      <c r="F148" s="117">
        <v>-3</v>
      </c>
      <c r="G148" s="117"/>
    </row>
    <row r="149" spans="1:7" ht="20" customHeight="1">
      <c r="A149" s="108" t="s">
        <v>351</v>
      </c>
      <c r="B149" s="114">
        <v>53.148000000000003</v>
      </c>
      <c r="C149" s="392">
        <v>19.318000000000001</v>
      </c>
      <c r="D149" s="114">
        <v>16.190999999999999</v>
      </c>
      <c r="E149" s="114">
        <v>33</v>
      </c>
      <c r="F149" s="114">
        <v>32</v>
      </c>
      <c r="G149" s="114"/>
    </row>
    <row r="150" spans="1:7" ht="20" customHeight="1">
      <c r="A150" s="110" t="s">
        <v>352</v>
      </c>
      <c r="B150" s="109">
        <v>35.978999999999999</v>
      </c>
      <c r="C150" s="392">
        <v>16.648</v>
      </c>
      <c r="D150" s="109">
        <v>11.641</v>
      </c>
      <c r="E150" s="109">
        <v>29</v>
      </c>
      <c r="F150" s="109">
        <v>29</v>
      </c>
      <c r="G150" s="109"/>
    </row>
    <row r="151" spans="1:7" ht="20" customHeight="1">
      <c r="A151" s="112" t="s">
        <v>337</v>
      </c>
      <c r="B151" s="111">
        <v>0</v>
      </c>
      <c r="C151" s="393">
        <v>14.259</v>
      </c>
      <c r="D151" s="111">
        <v>8.4990000000000006</v>
      </c>
      <c r="E151" s="111">
        <v>5</v>
      </c>
      <c r="F151" s="111">
        <v>18</v>
      </c>
      <c r="G151" s="111"/>
    </row>
    <row r="152" spans="1:7" ht="20" customHeight="1">
      <c r="A152" s="110" t="s">
        <v>353</v>
      </c>
      <c r="B152" s="109">
        <v>0</v>
      </c>
      <c r="C152" s="392">
        <v>14.259</v>
      </c>
      <c r="D152" s="109">
        <v>8.4990000000000006</v>
      </c>
      <c r="E152" s="109">
        <v>5</v>
      </c>
      <c r="F152" s="109">
        <v>18</v>
      </c>
      <c r="G152" s="109"/>
    </row>
    <row r="153" spans="1:7" ht="20" customHeight="1">
      <c r="A153" s="108" t="s">
        <v>354</v>
      </c>
      <c r="B153" s="115">
        <v>-428.69799999999998</v>
      </c>
      <c r="C153" s="394">
        <v>-1878.2059999999999</v>
      </c>
      <c r="D153" s="115">
        <v>-784.61300000000006</v>
      </c>
      <c r="E153" s="115">
        <v>-1962</v>
      </c>
      <c r="F153" s="115">
        <v>-717</v>
      </c>
      <c r="G153" s="115"/>
    </row>
    <row r="154" spans="1:7" ht="20" customHeight="1">
      <c r="A154" s="116" t="s">
        <v>355</v>
      </c>
      <c r="B154" s="116"/>
      <c r="C154" s="283"/>
      <c r="D154" s="116"/>
      <c r="E154" s="116"/>
      <c r="F154" s="116"/>
      <c r="G154" s="116"/>
    </row>
    <row r="155" spans="1:7" ht="20" customHeight="1">
      <c r="A155" s="112" t="s">
        <v>32</v>
      </c>
      <c r="B155" s="111">
        <v>-917.56399999999996</v>
      </c>
      <c r="C155" s="393">
        <v>-958.93700000000001</v>
      </c>
      <c r="D155" s="111">
        <v>-995.98500000000001</v>
      </c>
      <c r="E155" s="111">
        <v>-1008</v>
      </c>
      <c r="F155" s="111">
        <v>-1000</v>
      </c>
      <c r="G155" s="111"/>
    </row>
    <row r="156" spans="1:7" ht="20" customHeight="1">
      <c r="A156" s="110" t="s">
        <v>356</v>
      </c>
      <c r="B156" s="113">
        <v>-917.56399999999996</v>
      </c>
      <c r="C156" s="394">
        <v>-958.93700000000001</v>
      </c>
      <c r="D156" s="113">
        <v>-995.98500000000001</v>
      </c>
      <c r="E156" s="113">
        <v>-1008</v>
      </c>
      <c r="F156" s="113">
        <v>-1000</v>
      </c>
      <c r="G156" s="113"/>
    </row>
    <row r="157" spans="1:7" ht="20" customHeight="1">
      <c r="A157" s="112" t="s">
        <v>33</v>
      </c>
      <c r="B157" s="111">
        <v>130.374</v>
      </c>
      <c r="C157" s="393">
        <v>-371.65800000000002</v>
      </c>
      <c r="D157" s="111">
        <v>-420.92200000000003</v>
      </c>
      <c r="E157" s="111">
        <v>-1112</v>
      </c>
      <c r="F157" s="111">
        <v>-1140</v>
      </c>
      <c r="G157" s="111"/>
    </row>
    <row r="158" spans="1:7" ht="20" customHeight="1">
      <c r="A158" s="110" t="s">
        <v>357</v>
      </c>
      <c r="B158" s="113">
        <v>0</v>
      </c>
      <c r="C158" s="394">
        <v>-499.82499999999999</v>
      </c>
      <c r="D158" s="113">
        <v>-500.09300000000002</v>
      </c>
      <c r="E158" s="113">
        <v>-1232</v>
      </c>
      <c r="F158" s="113">
        <v>-1250</v>
      </c>
      <c r="G158" s="109"/>
    </row>
    <row r="159" spans="1:7" ht="20" customHeight="1">
      <c r="A159" s="112" t="s">
        <v>358</v>
      </c>
      <c r="B159" s="111">
        <v>130.374</v>
      </c>
      <c r="C159" s="393">
        <v>128.167</v>
      </c>
      <c r="D159" s="111">
        <v>79.171000000000006</v>
      </c>
      <c r="E159" s="111">
        <v>120</v>
      </c>
      <c r="F159" s="111">
        <v>110</v>
      </c>
      <c r="G159" s="111"/>
    </row>
    <row r="160" spans="1:7" ht="20" customHeight="1">
      <c r="A160" s="110" t="s">
        <v>359</v>
      </c>
      <c r="B160" s="109">
        <v>130.374</v>
      </c>
      <c r="C160" s="392">
        <v>128.167</v>
      </c>
      <c r="D160" s="109">
        <v>79.171000000000006</v>
      </c>
      <c r="E160" s="109">
        <v>120</v>
      </c>
      <c r="F160" s="109">
        <v>110</v>
      </c>
      <c r="G160" s="109"/>
    </row>
    <row r="161" spans="1:7" ht="20" customHeight="1">
      <c r="A161" s="112" t="s">
        <v>360</v>
      </c>
      <c r="B161" s="111">
        <v>-3827.8290000000002</v>
      </c>
      <c r="C161" s="393">
        <v>-642.04600000000005</v>
      </c>
      <c r="D161" s="111">
        <v>-580.851</v>
      </c>
      <c r="E161" s="111">
        <v>1115</v>
      </c>
      <c r="F161" s="111">
        <v>750</v>
      </c>
      <c r="G161" s="111"/>
    </row>
    <row r="162" spans="1:7" ht="20" customHeight="1">
      <c r="A162" s="110" t="s">
        <v>361</v>
      </c>
      <c r="B162" s="109">
        <v>-826.18200000000002</v>
      </c>
      <c r="C162" s="392">
        <v>0</v>
      </c>
      <c r="D162" s="109">
        <v>0</v>
      </c>
      <c r="E162" s="109">
        <v>200</v>
      </c>
      <c r="F162" s="109">
        <v>45</v>
      </c>
      <c r="G162" s="113"/>
    </row>
    <row r="163" spans="1:7" ht="20" customHeight="1">
      <c r="A163" s="112" t="s">
        <v>362</v>
      </c>
      <c r="B163" s="111">
        <v>-3001.6469999999999</v>
      </c>
      <c r="C163" s="393">
        <v>-642.04600000000005</v>
      </c>
      <c r="D163" s="111">
        <v>-580.851</v>
      </c>
      <c r="E163" s="111">
        <v>915</v>
      </c>
      <c r="F163" s="111">
        <v>705</v>
      </c>
      <c r="G163" s="111"/>
    </row>
    <row r="164" spans="1:7" ht="20" customHeight="1">
      <c r="A164" s="396" t="s">
        <v>363</v>
      </c>
      <c r="B164" s="109">
        <v>1.484</v>
      </c>
      <c r="C164" s="392">
        <v>1248.2070000000001</v>
      </c>
      <c r="D164" s="109">
        <v>248.977</v>
      </c>
      <c r="E164" s="109">
        <v>1362</v>
      </c>
      <c r="F164" s="109">
        <v>1254</v>
      </c>
      <c r="G164" s="109"/>
    </row>
    <row r="165" spans="1:7" ht="20" customHeight="1">
      <c r="A165" s="108" t="s">
        <v>364</v>
      </c>
      <c r="B165" s="115">
        <v>-3003.1309999999999</v>
      </c>
      <c r="C165" s="394">
        <v>-1890.2529999999999</v>
      </c>
      <c r="D165" s="115">
        <v>-829.82799999999997</v>
      </c>
      <c r="E165" s="115">
        <v>-447</v>
      </c>
      <c r="F165" s="115">
        <v>-549</v>
      </c>
      <c r="G165" s="115"/>
    </row>
    <row r="166" spans="1:7" ht="20" customHeight="1">
      <c r="A166" s="116" t="s">
        <v>337</v>
      </c>
      <c r="B166" s="117">
        <v>-13.209</v>
      </c>
      <c r="C166" s="393">
        <v>-14.257</v>
      </c>
      <c r="D166" s="117">
        <v>-58.218000000000004</v>
      </c>
      <c r="E166" s="117">
        <v>-33</v>
      </c>
      <c r="F166" s="117">
        <v>-22</v>
      </c>
      <c r="G166" s="117"/>
    </row>
    <row r="167" spans="1:7" ht="20" customHeight="1">
      <c r="A167" s="108" t="s">
        <v>365</v>
      </c>
      <c r="B167" s="115">
        <v>-13.209</v>
      </c>
      <c r="C167" s="394">
        <v>-37.384</v>
      </c>
      <c r="D167" s="115">
        <v>-58.218000000000004</v>
      </c>
      <c r="E167" s="115">
        <v>-33</v>
      </c>
      <c r="F167" s="115">
        <v>-22</v>
      </c>
      <c r="G167" s="115"/>
    </row>
    <row r="168" spans="1:7" ht="20" customHeight="1">
      <c r="A168" s="110" t="s">
        <v>353</v>
      </c>
      <c r="B168" s="109">
        <v>0</v>
      </c>
      <c r="C168" s="392">
        <v>23.126999999999999</v>
      </c>
      <c r="D168" s="109">
        <v>0</v>
      </c>
      <c r="E168" s="109">
        <v>0</v>
      </c>
      <c r="F168" s="109">
        <v>0</v>
      </c>
      <c r="G168" s="109"/>
    </row>
    <row r="169" spans="1:7" ht="20" customHeight="1">
      <c r="A169" s="108" t="s">
        <v>366</v>
      </c>
      <c r="B169" s="115">
        <v>-4628.2280000000001</v>
      </c>
      <c r="C169" s="394">
        <v>-1986.8979999999999</v>
      </c>
      <c r="D169" s="115">
        <v>-2055.9760000000001</v>
      </c>
      <c r="E169" s="115">
        <v>-1038</v>
      </c>
      <c r="F169" s="115">
        <v>-1412</v>
      </c>
      <c r="G169" s="115"/>
    </row>
    <row r="170" spans="1:7" ht="20" customHeight="1">
      <c r="A170" s="116" t="s">
        <v>367</v>
      </c>
      <c r="B170" s="116"/>
      <c r="C170" s="283"/>
      <c r="D170" s="116"/>
      <c r="E170" s="116"/>
      <c r="F170" s="116"/>
      <c r="G170" s="116"/>
    </row>
    <row r="171" spans="1:7" ht="20" customHeight="1">
      <c r="A171" s="108" t="s">
        <v>368</v>
      </c>
      <c r="B171" s="114">
        <v>94.614000000000004</v>
      </c>
      <c r="C171" s="392">
        <v>-31.905999999999999</v>
      </c>
      <c r="D171" s="115">
        <v>7.6429999999999998</v>
      </c>
      <c r="E171" s="114">
        <v>-10</v>
      </c>
      <c r="F171" s="115">
        <v>22</v>
      </c>
      <c r="G171" s="114"/>
    </row>
    <row r="172" spans="1:7" ht="20" customHeight="1">
      <c r="A172" s="110" t="s">
        <v>369</v>
      </c>
      <c r="B172" s="109">
        <v>-3058.47</v>
      </c>
      <c r="C172" s="392">
        <v>-2105.7240000000002</v>
      </c>
      <c r="D172" s="113">
        <v>34.655999999999999</v>
      </c>
      <c r="E172" s="109">
        <v>-21</v>
      </c>
      <c r="F172" s="113">
        <v>403</v>
      </c>
      <c r="G172" s="113"/>
    </row>
    <row r="173" spans="1:7" ht="20" customHeight="1">
      <c r="A173" s="112" t="s">
        <v>370</v>
      </c>
      <c r="B173" s="111">
        <v>1433.1659999999999</v>
      </c>
      <c r="C173" s="393">
        <v>1158.4839999999999</v>
      </c>
      <c r="D173" s="111">
        <v>2074.277</v>
      </c>
      <c r="E173" s="111">
        <v>2157</v>
      </c>
      <c r="F173" s="111">
        <v>1604</v>
      </c>
      <c r="G173" s="111"/>
    </row>
    <row r="174" spans="1:7" ht="20" customHeight="1">
      <c r="A174" s="110" t="s">
        <v>371</v>
      </c>
      <c r="B174" s="109">
        <v>2.7906759999999999</v>
      </c>
      <c r="C174" s="392">
        <v>2.2538339999999999</v>
      </c>
      <c r="D174" s="109">
        <v>4.0694460000000001</v>
      </c>
      <c r="E174" s="109">
        <v>4.2874509999999999</v>
      </c>
      <c r="F174" s="109">
        <v>3.274635</v>
      </c>
      <c r="G174" s="109"/>
    </row>
    <row r="175" spans="1:7" ht="20" customHeight="1">
      <c r="A175" s="108" t="s">
        <v>372</v>
      </c>
      <c r="B175" s="107">
        <v>3.643656</v>
      </c>
      <c r="C175" s="389">
        <v>2.6110220000000002</v>
      </c>
      <c r="D175" s="107">
        <v>5.4844290000000004</v>
      </c>
      <c r="E175" s="107">
        <v>6.0056750000000001</v>
      </c>
      <c r="F175" s="107">
        <v>4.3655970000000002</v>
      </c>
      <c r="G175" s="107"/>
    </row>
    <row r="176" spans="1:7" ht="20" customHeight="1">
      <c r="A176" s="106" t="s">
        <v>278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1E06-B6D0-A94F-960C-13E1C2CFBCC9}">
  <dimension ref="A1:AF63"/>
  <sheetViews>
    <sheetView topLeftCell="A5" zoomScale="83" zoomScaleNormal="125" workbookViewId="0">
      <selection activeCell="C26" sqref="C26"/>
    </sheetView>
  </sheetViews>
  <sheetFormatPr baseColWidth="10" defaultColWidth="11" defaultRowHeight="16"/>
  <cols>
    <col min="1" max="1" width="46.6640625" bestFit="1" customWidth="1"/>
  </cols>
  <sheetData>
    <row r="1" spans="1:32">
      <c r="A1" s="1" t="s">
        <v>236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row>
    <row r="2" spans="1:32">
      <c r="A2" s="3">
        <v>71.38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32">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row>
    <row r="4" spans="1:32">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row>
    <row r="5" spans="1:32">
      <c r="A5" s="1" t="s">
        <v>238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c r="A6" s="1" t="s">
        <v>373</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spans="1:32">
      <c r="A7" s="1" t="s">
        <v>240</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spans="1:32">
      <c r="A8" s="1"/>
      <c r="B8" s="1" t="s">
        <v>0</v>
      </c>
      <c r="C8" s="1" t="s">
        <v>1</v>
      </c>
      <c r="D8" s="1" t="s">
        <v>2</v>
      </c>
      <c r="E8" s="1" t="s">
        <v>3</v>
      </c>
      <c r="F8" s="1" t="s">
        <v>4</v>
      </c>
      <c r="G8" s="1" t="s">
        <v>5</v>
      </c>
      <c r="H8" s="1" t="s">
        <v>6</v>
      </c>
      <c r="I8" s="1" t="s">
        <v>7</v>
      </c>
      <c r="J8" s="1" t="s">
        <v>8</v>
      </c>
      <c r="K8" s="1" t="s">
        <v>9</v>
      </c>
      <c r="L8" s="1" t="s">
        <v>10</v>
      </c>
      <c r="M8" s="1" t="s">
        <v>11</v>
      </c>
      <c r="N8" s="1" t="s">
        <v>12</v>
      </c>
      <c r="O8" s="1" t="s">
        <v>13</v>
      </c>
      <c r="P8" s="1" t="s">
        <v>14</v>
      </c>
      <c r="Q8" s="1" t="s">
        <v>15</v>
      </c>
      <c r="R8" s="1" t="s">
        <v>16</v>
      </c>
      <c r="S8" s="1" t="s">
        <v>17</v>
      </c>
      <c r="T8" s="1" t="s">
        <v>18</v>
      </c>
      <c r="U8" s="1" t="s">
        <v>19</v>
      </c>
      <c r="V8" s="1" t="s">
        <v>20</v>
      </c>
      <c r="W8" s="1" t="s">
        <v>21</v>
      </c>
      <c r="X8" s="1" t="s">
        <v>22</v>
      </c>
      <c r="Y8" s="1" t="s">
        <v>23</v>
      </c>
      <c r="Z8" s="1" t="s">
        <v>24</v>
      </c>
      <c r="AA8" s="1" t="s">
        <v>25</v>
      </c>
      <c r="AB8" s="1" t="s">
        <v>26</v>
      </c>
      <c r="AC8" s="1" t="s">
        <v>27</v>
      </c>
      <c r="AD8" s="1" t="s">
        <v>28</v>
      </c>
      <c r="AE8" s="1" t="s">
        <v>29</v>
      </c>
      <c r="AF8" s="1" t="s">
        <v>30</v>
      </c>
    </row>
    <row r="9" spans="1:32">
      <c r="A9" s="1"/>
      <c r="B9" s="1" t="s">
        <v>374</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spans="1:32">
      <c r="A10" s="1"/>
      <c r="B10" s="1"/>
      <c r="C10" s="1"/>
      <c r="D10" s="1"/>
      <c r="E10" s="1"/>
      <c r="F10" s="1"/>
      <c r="G10" s="1"/>
      <c r="H10" s="1"/>
      <c r="I10" s="1"/>
      <c r="J10" s="1" t="s">
        <v>375</v>
      </c>
      <c r="K10" s="1" t="s">
        <v>375</v>
      </c>
      <c r="L10" s="1"/>
      <c r="M10" s="1"/>
      <c r="N10" s="1"/>
      <c r="O10" s="1"/>
      <c r="P10" s="1"/>
      <c r="Q10" s="1"/>
      <c r="R10" s="1"/>
      <c r="S10" s="1"/>
      <c r="T10" s="1"/>
      <c r="U10" s="1"/>
      <c r="V10" s="1"/>
      <c r="W10" s="1"/>
      <c r="X10" s="1"/>
      <c r="Y10" s="1"/>
      <c r="Z10" s="1"/>
      <c r="AA10" s="1"/>
      <c r="AB10" s="1"/>
      <c r="AC10" s="1"/>
      <c r="AD10" s="1"/>
      <c r="AE10" s="1"/>
      <c r="AF10" s="1"/>
    </row>
    <row r="11" spans="1:32">
      <c r="A11" s="4" t="s">
        <v>331</v>
      </c>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c r="A12" s="2" t="s">
        <v>332</v>
      </c>
      <c r="B12" s="5">
        <v>1798</v>
      </c>
      <c r="C12" s="5">
        <v>1828</v>
      </c>
      <c r="D12" s="5">
        <v>1955</v>
      </c>
      <c r="E12" s="5">
        <v>1770.1</v>
      </c>
      <c r="F12" s="5">
        <v>1358.8</v>
      </c>
      <c r="G12" s="2">
        <v>524.20000000000005</v>
      </c>
      <c r="H12" s="2">
        <v>215.5</v>
      </c>
      <c r="I12" s="5">
        <v>1674.3</v>
      </c>
      <c r="J12" s="5">
        <v>1430.8</v>
      </c>
      <c r="K12" s="5">
        <v>1142.5</v>
      </c>
      <c r="L12" s="2">
        <v>949.6</v>
      </c>
      <c r="M12" s="2">
        <v>686.8</v>
      </c>
      <c r="N12" s="2">
        <v>931.5</v>
      </c>
      <c r="O12" s="2">
        <v>992.4</v>
      </c>
      <c r="P12" s="5">
        <v>1121.5999999999999</v>
      </c>
      <c r="Q12" s="5">
        <v>1152</v>
      </c>
      <c r="R12" s="5">
        <v>1180</v>
      </c>
      <c r="S12" s="5">
        <v>1055.9000000000001</v>
      </c>
      <c r="T12" s="5">
        <v>1106.2</v>
      </c>
      <c r="U12" s="5">
        <v>1001.1</v>
      </c>
      <c r="V12" s="2">
        <v>855.3</v>
      </c>
      <c r="W12" s="2">
        <v>961.5</v>
      </c>
      <c r="X12" s="2">
        <v>907.2</v>
      </c>
      <c r="Y12" s="2">
        <v>778.3</v>
      </c>
      <c r="Z12" s="2">
        <v>679.8</v>
      </c>
      <c r="AA12" s="2">
        <v>596.9</v>
      </c>
      <c r="AB12" s="2">
        <v>453.6</v>
      </c>
      <c r="AC12" s="2">
        <v>362.3</v>
      </c>
      <c r="AD12" s="2">
        <v>324.8</v>
      </c>
      <c r="AE12" s="2">
        <v>302.5</v>
      </c>
      <c r="AF12" s="2">
        <v>276.89999999999998</v>
      </c>
    </row>
    <row r="13" spans="1:32">
      <c r="A13" s="4" t="s">
        <v>333</v>
      </c>
      <c r="B13" s="6">
        <v>1092</v>
      </c>
      <c r="C13" s="6">
        <v>1086</v>
      </c>
      <c r="D13" s="4">
        <v>997</v>
      </c>
      <c r="E13" s="4">
        <v>888.7</v>
      </c>
      <c r="F13" s="4">
        <v>880.9</v>
      </c>
      <c r="G13" s="4">
        <v>851.8</v>
      </c>
      <c r="H13" s="4">
        <v>914.1</v>
      </c>
      <c r="I13" s="4">
        <v>763.9</v>
      </c>
      <c r="J13" s="4">
        <v>765.5</v>
      </c>
      <c r="K13" s="4">
        <v>902</v>
      </c>
      <c r="L13" s="4">
        <v>662.7</v>
      </c>
      <c r="M13" s="4">
        <v>553</v>
      </c>
      <c r="N13" s="4">
        <v>556.1</v>
      </c>
      <c r="O13" s="4">
        <v>512.5</v>
      </c>
      <c r="P13" s="4">
        <v>416.9</v>
      </c>
      <c r="Q13" s="4">
        <v>402.6</v>
      </c>
      <c r="R13" s="4">
        <v>390</v>
      </c>
      <c r="S13" s="4">
        <v>382.3</v>
      </c>
      <c r="T13" s="4">
        <v>372.5</v>
      </c>
      <c r="U13" s="4">
        <v>362.6</v>
      </c>
      <c r="V13" s="4">
        <v>345.1</v>
      </c>
      <c r="W13" s="4">
        <v>316.7</v>
      </c>
      <c r="X13" s="4">
        <v>283.60000000000002</v>
      </c>
      <c r="Y13" s="4">
        <v>273.10000000000002</v>
      </c>
      <c r="Z13" s="4">
        <v>278.3</v>
      </c>
      <c r="AA13" s="4">
        <v>248.2</v>
      </c>
      <c r="AB13" s="4">
        <v>220.7</v>
      </c>
      <c r="AC13" s="4">
        <v>205</v>
      </c>
      <c r="AD13" s="4">
        <v>181.2</v>
      </c>
      <c r="AE13" s="4">
        <v>160.30000000000001</v>
      </c>
      <c r="AF13" s="4">
        <v>144.69999999999999</v>
      </c>
    </row>
    <row r="14" spans="1:32">
      <c r="A14" s="2" t="s">
        <v>376</v>
      </c>
      <c r="B14" s="2"/>
      <c r="C14" s="2"/>
      <c r="D14" s="2"/>
      <c r="E14" s="2"/>
      <c r="F14" s="2"/>
      <c r="G14" s="2"/>
      <c r="H14" s="2"/>
      <c r="I14" s="2"/>
      <c r="J14" s="2"/>
      <c r="K14" s="2"/>
      <c r="L14" s="2"/>
      <c r="M14" s="2"/>
      <c r="N14" s="2"/>
      <c r="O14" s="2"/>
      <c r="P14" s="2"/>
      <c r="Q14" s="2"/>
      <c r="R14" s="2"/>
      <c r="S14" s="2"/>
      <c r="T14" s="2"/>
      <c r="U14" s="2"/>
      <c r="V14" s="2"/>
      <c r="W14" s="2"/>
      <c r="X14" s="2">
        <v>273</v>
      </c>
      <c r="Y14" s="2">
        <v>273.10000000000002</v>
      </c>
      <c r="Z14" s="2">
        <v>278.3</v>
      </c>
      <c r="AA14" s="2">
        <v>248.2</v>
      </c>
      <c r="AB14" s="2">
        <v>220.7</v>
      </c>
      <c r="AC14" s="2">
        <v>205</v>
      </c>
      <c r="AD14" s="2">
        <v>181.2</v>
      </c>
      <c r="AE14" s="2">
        <v>160.30000000000001</v>
      </c>
      <c r="AF14" s="2">
        <v>144.69999999999999</v>
      </c>
    </row>
    <row r="15" spans="1:32">
      <c r="A15" s="2" t="s">
        <v>377</v>
      </c>
      <c r="B15" s="2"/>
      <c r="C15" s="2"/>
      <c r="D15" s="2"/>
      <c r="E15" s="2"/>
      <c r="F15" s="2"/>
      <c r="G15" s="2"/>
      <c r="H15" s="2"/>
      <c r="I15" s="2"/>
      <c r="J15" s="2"/>
      <c r="K15" s="2"/>
      <c r="L15" s="2"/>
      <c r="M15" s="2"/>
      <c r="N15" s="2"/>
      <c r="O15" s="2"/>
      <c r="P15" s="2"/>
      <c r="Q15" s="2"/>
      <c r="R15" s="2"/>
      <c r="S15" s="2"/>
      <c r="T15" s="2"/>
      <c r="U15" s="2"/>
      <c r="V15" s="2"/>
      <c r="W15" s="2"/>
      <c r="X15" s="2">
        <v>10.6</v>
      </c>
      <c r="Y15" s="2"/>
      <c r="Z15" s="2"/>
      <c r="AA15" s="2"/>
      <c r="AB15" s="2"/>
      <c r="AC15" s="2"/>
      <c r="AD15" s="2"/>
      <c r="AE15" s="2"/>
      <c r="AF15" s="2">
        <v>0</v>
      </c>
    </row>
    <row r="16" spans="1:32">
      <c r="A16" s="4" t="s">
        <v>335</v>
      </c>
      <c r="B16" s="4">
        <v>-4</v>
      </c>
      <c r="C16" s="4">
        <v>-13</v>
      </c>
      <c r="D16" s="4">
        <v>27</v>
      </c>
      <c r="E16" s="4">
        <v>-16.399999999999999</v>
      </c>
      <c r="F16" s="4">
        <v>-64.5</v>
      </c>
      <c r="G16" s="4">
        <v>-157.9</v>
      </c>
      <c r="H16" s="4">
        <v>-191.3</v>
      </c>
      <c r="I16" s="4">
        <v>-126.7</v>
      </c>
      <c r="J16" s="4">
        <v>187.9</v>
      </c>
      <c r="K16" s="4">
        <v>-51.8</v>
      </c>
      <c r="L16" s="4">
        <v>93.9</v>
      </c>
      <c r="M16" s="4">
        <v>-4.7</v>
      </c>
      <c r="N16" s="4">
        <v>-30.7</v>
      </c>
      <c r="O16" s="4">
        <v>-28.1</v>
      </c>
      <c r="P16" s="4">
        <v>-177.9</v>
      </c>
      <c r="Q16" s="4">
        <v>-165.2</v>
      </c>
      <c r="R16" s="4">
        <v>-121.9</v>
      </c>
      <c r="S16" s="4">
        <v>-294.2</v>
      </c>
      <c r="T16" s="4">
        <v>643.5</v>
      </c>
      <c r="U16" s="4">
        <v>546</v>
      </c>
      <c r="V16" s="4">
        <v>482.1</v>
      </c>
      <c r="W16" s="4">
        <v>554.9</v>
      </c>
      <c r="X16" s="4">
        <v>608.20000000000005</v>
      </c>
      <c r="Y16" s="4">
        <v>481.3</v>
      </c>
      <c r="Z16" s="4">
        <v>263.5</v>
      </c>
      <c r="AA16" s="4">
        <v>6.2</v>
      </c>
      <c r="AB16" s="4">
        <v>-25.5</v>
      </c>
      <c r="AC16" s="4">
        <v>5.7</v>
      </c>
      <c r="AD16" s="4">
        <v>-15.1</v>
      </c>
      <c r="AE16" s="4">
        <v>11.1</v>
      </c>
      <c r="AF16" s="4">
        <v>16.100000000000001</v>
      </c>
    </row>
    <row r="17" spans="1:32">
      <c r="A17" s="2" t="s">
        <v>336</v>
      </c>
      <c r="B17" s="7">
        <v>-4</v>
      </c>
      <c r="C17" s="7">
        <v>-13</v>
      </c>
      <c r="D17" s="2">
        <v>27</v>
      </c>
      <c r="E17" s="7">
        <v>-16.399999999999999</v>
      </c>
      <c r="F17" s="7">
        <v>-64.5</v>
      </c>
      <c r="G17" s="7">
        <v>-157.9</v>
      </c>
      <c r="H17" s="7">
        <v>-191.3</v>
      </c>
      <c r="I17" s="7">
        <v>-126.7</v>
      </c>
      <c r="J17" s="2">
        <v>187.9</v>
      </c>
      <c r="K17" s="7">
        <v>-51.8</v>
      </c>
      <c r="L17" s="2">
        <v>93.9</v>
      </c>
      <c r="M17" s="7">
        <v>-4.7</v>
      </c>
      <c r="N17" s="7">
        <v>-30.7</v>
      </c>
      <c r="O17" s="7">
        <v>-28.1</v>
      </c>
      <c r="P17" s="7">
        <v>-177.9</v>
      </c>
      <c r="Q17" s="7">
        <v>-165.2</v>
      </c>
      <c r="R17" s="7">
        <v>-121.9</v>
      </c>
      <c r="S17" s="7">
        <v>-294.2</v>
      </c>
      <c r="T17" s="2">
        <v>643.5</v>
      </c>
      <c r="U17" s="2">
        <v>546</v>
      </c>
      <c r="V17" s="2">
        <v>482.1</v>
      </c>
      <c r="W17" s="2">
        <v>554.9</v>
      </c>
      <c r="X17" s="2">
        <v>608.20000000000005</v>
      </c>
      <c r="Y17" s="2">
        <v>481.3</v>
      </c>
      <c r="Z17" s="2">
        <v>263.5</v>
      </c>
      <c r="AA17" s="2">
        <v>6.2</v>
      </c>
      <c r="AB17" s="7">
        <v>-25.5</v>
      </c>
      <c r="AC17" s="2">
        <v>5.7</v>
      </c>
      <c r="AD17" s="7">
        <v>-15.1</v>
      </c>
      <c r="AE17" s="2">
        <v>11.1</v>
      </c>
      <c r="AF17" s="2">
        <v>16.100000000000001</v>
      </c>
    </row>
    <row r="18" spans="1:32">
      <c r="A18" s="2" t="s">
        <v>337</v>
      </c>
      <c r="B18" s="2">
        <v>229</v>
      </c>
      <c r="C18" s="2">
        <v>185</v>
      </c>
      <c r="D18" s="2">
        <v>168</v>
      </c>
      <c r="E18" s="2">
        <v>459.8</v>
      </c>
      <c r="F18" s="2">
        <v>232</v>
      </c>
      <c r="G18" s="2">
        <v>269.3</v>
      </c>
      <c r="H18" s="2">
        <v>727.7</v>
      </c>
      <c r="I18" s="2">
        <v>119.8</v>
      </c>
      <c r="J18" s="2">
        <v>200.9</v>
      </c>
      <c r="K18" s="2">
        <v>143.1</v>
      </c>
      <c r="L18" s="2">
        <v>356</v>
      </c>
      <c r="M18" s="2">
        <v>95.5</v>
      </c>
      <c r="N18" s="2">
        <v>111.6</v>
      </c>
      <c r="O18" s="2">
        <v>107.9</v>
      </c>
      <c r="P18" s="2">
        <v>102.7</v>
      </c>
      <c r="Q18" s="2">
        <v>92.4</v>
      </c>
      <c r="R18" s="2">
        <v>103.8</v>
      </c>
      <c r="S18" s="2">
        <v>127.1</v>
      </c>
      <c r="T18" s="2">
        <v>110.1</v>
      </c>
      <c r="U18" s="2">
        <v>119.9</v>
      </c>
      <c r="V18" s="2">
        <v>137.4</v>
      </c>
      <c r="W18" s="2">
        <v>18.600000000000001</v>
      </c>
      <c r="X18" s="2">
        <v>27.4</v>
      </c>
      <c r="Y18" s="2">
        <v>27.1</v>
      </c>
      <c r="Z18" s="2">
        <v>25.9</v>
      </c>
      <c r="AA18" s="2">
        <v>21.7</v>
      </c>
      <c r="AB18" s="2">
        <v>27.1</v>
      </c>
      <c r="AC18" s="2">
        <v>26.2</v>
      </c>
      <c r="AD18" s="2">
        <v>23</v>
      </c>
      <c r="AE18" s="2">
        <v>21.6</v>
      </c>
      <c r="AF18" s="2">
        <v>1.9</v>
      </c>
    </row>
    <row r="19" spans="1:32">
      <c r="A19" s="2" t="s">
        <v>338</v>
      </c>
      <c r="B19" s="5">
        <v>3115</v>
      </c>
      <c r="C19" s="5">
        <v>3086</v>
      </c>
      <c r="D19" s="5">
        <v>3147</v>
      </c>
      <c r="E19" s="5">
        <v>3102.1</v>
      </c>
      <c r="F19" s="5">
        <v>2407.3000000000002</v>
      </c>
      <c r="G19" s="5">
        <v>1487.5</v>
      </c>
      <c r="H19" s="5">
        <v>1666</v>
      </c>
      <c r="I19" s="5">
        <v>2431.1999999999998</v>
      </c>
      <c r="J19" s="5">
        <v>2585</v>
      </c>
      <c r="K19" s="5">
        <v>2135.8000000000002</v>
      </c>
      <c r="L19" s="5">
        <v>2062.1999999999998</v>
      </c>
      <c r="M19" s="5">
        <v>1330.6</v>
      </c>
      <c r="N19" s="5">
        <v>1568.6</v>
      </c>
      <c r="O19" s="5">
        <v>1584.7</v>
      </c>
      <c r="P19" s="5">
        <v>1463.3</v>
      </c>
      <c r="Q19" s="5">
        <v>1481.8</v>
      </c>
      <c r="R19" s="5">
        <v>1551.9</v>
      </c>
      <c r="S19" s="5">
        <v>1271.2</v>
      </c>
      <c r="T19" s="5">
        <v>2232.1999999999998</v>
      </c>
      <c r="U19" s="5">
        <v>2029.5</v>
      </c>
      <c r="V19" s="5">
        <v>1819.9</v>
      </c>
      <c r="W19" s="5">
        <v>1851.6</v>
      </c>
      <c r="X19" s="5">
        <v>1826.3</v>
      </c>
      <c r="Y19" s="5">
        <v>1559.9</v>
      </c>
      <c r="Z19" s="5">
        <v>1247.4000000000001</v>
      </c>
      <c r="AA19" s="2">
        <v>873.1</v>
      </c>
      <c r="AB19" s="2">
        <v>675.8</v>
      </c>
      <c r="AC19" s="2">
        <v>599.1</v>
      </c>
      <c r="AD19" s="2">
        <v>513.9</v>
      </c>
      <c r="AE19" s="2">
        <v>495.5</v>
      </c>
      <c r="AF19" s="2">
        <v>439.6</v>
      </c>
    </row>
    <row r="20" spans="1:32">
      <c r="A20" s="4" t="s">
        <v>339</v>
      </c>
      <c r="B20" s="4">
        <v>-492</v>
      </c>
      <c r="C20" s="4">
        <v>-576</v>
      </c>
      <c r="D20" s="4">
        <v>-158</v>
      </c>
      <c r="E20" s="4">
        <v>-234.5</v>
      </c>
      <c r="F20" s="4">
        <v>-616</v>
      </c>
      <c r="G20" s="4">
        <v>416.4</v>
      </c>
      <c r="H20" s="4">
        <v>-47.3</v>
      </c>
      <c r="I20" s="4">
        <v>-20</v>
      </c>
      <c r="J20" s="4">
        <v>-429.6</v>
      </c>
      <c r="K20" s="4">
        <v>103.6</v>
      </c>
      <c r="L20" s="4">
        <v>-129.1</v>
      </c>
      <c r="M20" s="4">
        <v>224.9</v>
      </c>
      <c r="N20" s="4">
        <v>-75.7</v>
      </c>
      <c r="O20" s="4">
        <v>-73.099999999999994</v>
      </c>
      <c r="P20" s="4">
        <v>-59.2</v>
      </c>
      <c r="Q20" s="4">
        <v>-390.3</v>
      </c>
      <c r="R20" s="4">
        <v>-666.5</v>
      </c>
      <c r="S20" s="4">
        <v>311.10000000000002</v>
      </c>
      <c r="T20" s="4">
        <v>-636.1</v>
      </c>
      <c r="U20" s="4">
        <v>-626.5</v>
      </c>
      <c r="V20" s="4">
        <v>-696.1</v>
      </c>
      <c r="W20" s="4">
        <v>-659.8</v>
      </c>
      <c r="X20" s="4">
        <v>-636.79999999999995</v>
      </c>
      <c r="Y20" s="4">
        <v>-187.1</v>
      </c>
      <c r="Z20" s="4">
        <v>-162.5</v>
      </c>
      <c r="AA20" s="4">
        <v>82.1</v>
      </c>
      <c r="AB20" s="4">
        <v>32.9</v>
      </c>
      <c r="AC20" s="4">
        <v>-13.8</v>
      </c>
      <c r="AD20" s="4">
        <v>-156.19999999999999</v>
      </c>
      <c r="AE20" s="4">
        <v>2.6</v>
      </c>
      <c r="AF20" s="4">
        <v>-89.2</v>
      </c>
    </row>
    <row r="21" spans="1:32">
      <c r="A21" s="2" t="s">
        <v>340</v>
      </c>
      <c r="B21" s="7">
        <v>-224</v>
      </c>
      <c r="C21" s="7">
        <v>-206</v>
      </c>
      <c r="D21" s="7">
        <v>-110</v>
      </c>
      <c r="E21" s="7">
        <v>-270.60000000000002</v>
      </c>
      <c r="F21" s="7">
        <v>-971.2</v>
      </c>
      <c r="G21" s="7">
        <v>-662.3</v>
      </c>
      <c r="H21" s="2">
        <v>915.7</v>
      </c>
      <c r="I21" s="7">
        <v>-203.5</v>
      </c>
      <c r="J21" s="7">
        <v>-37.5</v>
      </c>
      <c r="K21" s="2">
        <v>20.5</v>
      </c>
      <c r="L21" s="7">
        <v>-27.3</v>
      </c>
      <c r="M21" s="7">
        <v>-11.7</v>
      </c>
      <c r="N21" s="7">
        <v>-236.3</v>
      </c>
      <c r="O21" s="7">
        <v>-193.8</v>
      </c>
      <c r="P21" s="7">
        <v>-106.8</v>
      </c>
      <c r="Q21" s="7">
        <v>-252.6</v>
      </c>
      <c r="R21" s="7">
        <v>-166.4</v>
      </c>
      <c r="S21" s="2">
        <v>188.7</v>
      </c>
      <c r="T21" s="7">
        <v>-128</v>
      </c>
      <c r="U21" s="7">
        <v>-134.19999999999999</v>
      </c>
      <c r="V21" s="7">
        <v>-162.6</v>
      </c>
      <c r="W21" s="7">
        <v>-72.8</v>
      </c>
      <c r="X21" s="7">
        <v>-177.1</v>
      </c>
      <c r="Y21" s="7">
        <v>-218.2</v>
      </c>
      <c r="Z21" s="7">
        <v>-32.4</v>
      </c>
      <c r="AA21" s="7">
        <v>-83.9</v>
      </c>
      <c r="AB21" s="7">
        <v>-118.6</v>
      </c>
      <c r="AC21" s="7">
        <v>-145</v>
      </c>
      <c r="AD21" s="7">
        <v>-162.30000000000001</v>
      </c>
      <c r="AE21" s="7">
        <v>-40.200000000000003</v>
      </c>
      <c r="AF21" s="7">
        <v>-123.7</v>
      </c>
    </row>
    <row r="22" spans="1:32">
      <c r="A22" s="2" t="s">
        <v>288</v>
      </c>
      <c r="B22" s="7">
        <v>-124</v>
      </c>
      <c r="C22" s="7">
        <v>-330</v>
      </c>
      <c r="D22" s="7">
        <v>-70</v>
      </c>
      <c r="E22" s="7">
        <v>-22.2</v>
      </c>
      <c r="F22" s="7">
        <v>-708.6</v>
      </c>
      <c r="G22" s="7">
        <v>-551.4</v>
      </c>
      <c r="H22" s="2">
        <v>114.6</v>
      </c>
      <c r="I22" s="7">
        <v>-114.7</v>
      </c>
      <c r="J22" s="7">
        <v>-89.7</v>
      </c>
      <c r="K22" s="7">
        <v>-113.6</v>
      </c>
      <c r="L22" s="2">
        <v>66.900000000000006</v>
      </c>
      <c r="M22" s="7">
        <v>-125.2</v>
      </c>
      <c r="N22" s="7">
        <v>-195.8</v>
      </c>
      <c r="O22" s="7">
        <v>-180.3</v>
      </c>
      <c r="P22" s="7">
        <v>-99.2</v>
      </c>
      <c r="Q22" s="7">
        <v>-254.7</v>
      </c>
      <c r="R22" s="7">
        <v>-106.2</v>
      </c>
      <c r="S22" s="2">
        <v>177.6</v>
      </c>
      <c r="T22" s="7">
        <v>-110.9</v>
      </c>
      <c r="U22" s="7">
        <v>-95.9</v>
      </c>
      <c r="V22" s="7">
        <v>-119.4</v>
      </c>
      <c r="W22" s="7">
        <v>-35</v>
      </c>
      <c r="X22" s="7">
        <v>-162.5</v>
      </c>
      <c r="Y22" s="7">
        <v>-70</v>
      </c>
      <c r="Z22" s="7">
        <v>-17.8</v>
      </c>
      <c r="AA22" s="7">
        <v>-54.1</v>
      </c>
      <c r="AB22" s="7">
        <v>-56.9</v>
      </c>
      <c r="AC22" s="7">
        <v>-61.5</v>
      </c>
      <c r="AD22" s="7">
        <v>-48.5</v>
      </c>
      <c r="AE22" s="7">
        <v>-6.9</v>
      </c>
      <c r="AF22" s="7">
        <v>-56.1</v>
      </c>
    </row>
    <row r="23" spans="1:32">
      <c r="A23" s="2" t="s">
        <v>110</v>
      </c>
      <c r="B23" s="2">
        <v>99</v>
      </c>
      <c r="C23" s="2">
        <v>143</v>
      </c>
      <c r="D23" s="2">
        <v>104</v>
      </c>
      <c r="E23" s="2">
        <v>195.6</v>
      </c>
      <c r="F23" s="2">
        <v>810.5</v>
      </c>
      <c r="G23" s="5">
        <v>1459.2</v>
      </c>
      <c r="H23" s="7">
        <v>-834.1</v>
      </c>
      <c r="I23" s="2">
        <v>246.4</v>
      </c>
      <c r="J23" s="2">
        <v>76.900000000000006</v>
      </c>
      <c r="K23" s="2">
        <v>322.8</v>
      </c>
      <c r="L23" s="2">
        <v>23.9</v>
      </c>
      <c r="M23" s="2">
        <v>72.5</v>
      </c>
      <c r="N23" s="2">
        <v>392.7</v>
      </c>
      <c r="O23" s="2">
        <v>207.2</v>
      </c>
      <c r="P23" s="2">
        <v>30.3</v>
      </c>
      <c r="Q23" s="2">
        <v>187.4</v>
      </c>
      <c r="R23" s="2">
        <v>154.80000000000001</v>
      </c>
      <c r="S23" s="7">
        <v>-192.7</v>
      </c>
      <c r="T23" s="2">
        <v>54.5</v>
      </c>
      <c r="U23" s="2">
        <v>85.4</v>
      </c>
      <c r="V23" s="2">
        <v>49.8</v>
      </c>
      <c r="W23" s="2">
        <v>28.1</v>
      </c>
      <c r="X23" s="2">
        <v>95.9</v>
      </c>
      <c r="Y23" s="2">
        <v>237.4</v>
      </c>
      <c r="Z23" s="7">
        <v>-0.4</v>
      </c>
      <c r="AA23" s="2">
        <v>33.4</v>
      </c>
      <c r="AB23" s="2">
        <v>105.8</v>
      </c>
      <c r="AC23" s="2">
        <v>164.1</v>
      </c>
      <c r="AD23" s="2">
        <v>14.1</v>
      </c>
      <c r="AE23" s="2">
        <v>43.1</v>
      </c>
      <c r="AF23" s="2">
        <v>70.7</v>
      </c>
    </row>
    <row r="24" spans="1:32">
      <c r="A24" s="2" t="s">
        <v>341</v>
      </c>
      <c r="B24" s="7">
        <v>-94</v>
      </c>
      <c r="C24" s="7">
        <v>-62</v>
      </c>
      <c r="D24" s="2">
        <v>13</v>
      </c>
      <c r="E24" s="2">
        <v>92</v>
      </c>
      <c r="F24" s="7">
        <v>-9.8000000000000007</v>
      </c>
      <c r="G24" s="2">
        <v>119</v>
      </c>
      <c r="H24" s="7">
        <v>-102.7</v>
      </c>
      <c r="I24" s="2">
        <v>4.9000000000000004</v>
      </c>
      <c r="J24" s="7">
        <v>-10.7</v>
      </c>
      <c r="K24" s="7">
        <v>-74.599999999999994</v>
      </c>
      <c r="L24" s="2">
        <v>231.5</v>
      </c>
      <c r="M24" s="7">
        <v>-32.799999999999997</v>
      </c>
      <c r="N24" s="7">
        <v>-18.7</v>
      </c>
      <c r="O24" s="7">
        <v>-38</v>
      </c>
      <c r="P24" s="2">
        <v>71.3</v>
      </c>
      <c r="Q24" s="7">
        <v>-44.2</v>
      </c>
      <c r="R24" s="7">
        <v>-296.5</v>
      </c>
      <c r="S24" s="2">
        <v>325.5</v>
      </c>
      <c r="T24" s="7">
        <v>-509.8</v>
      </c>
      <c r="U24" s="7">
        <v>-492</v>
      </c>
      <c r="V24" s="7">
        <v>-545.6</v>
      </c>
      <c r="W24" s="7">
        <v>-438.8</v>
      </c>
      <c r="X24" s="7">
        <v>-392.2</v>
      </c>
      <c r="Y24" s="7">
        <v>-33.1</v>
      </c>
      <c r="Z24" s="7">
        <v>-81.7</v>
      </c>
      <c r="AA24" s="2">
        <v>106</v>
      </c>
      <c r="AB24" s="2">
        <v>16.3</v>
      </c>
      <c r="AC24" s="7">
        <v>-19.399999999999999</v>
      </c>
      <c r="AD24" s="2">
        <v>7.8</v>
      </c>
      <c r="AE24" s="7">
        <v>-5.6</v>
      </c>
      <c r="AF24" s="2">
        <v>13</v>
      </c>
    </row>
    <row r="25" spans="1:32">
      <c r="A25" s="2" t="s">
        <v>342</v>
      </c>
      <c r="B25" s="2">
        <v>42</v>
      </c>
      <c r="C25" s="7">
        <v>-14</v>
      </c>
      <c r="D25" s="7">
        <v>-12</v>
      </c>
      <c r="E25" s="2">
        <v>22.4</v>
      </c>
      <c r="F25" s="2">
        <v>423.4</v>
      </c>
      <c r="G25" s="2">
        <v>167.2</v>
      </c>
      <c r="H25" s="7">
        <v>-139.9</v>
      </c>
      <c r="I25" s="2">
        <v>137.5</v>
      </c>
      <c r="J25" s="2">
        <v>47.1</v>
      </c>
      <c r="K25" s="7">
        <v>-4.5</v>
      </c>
      <c r="L25" s="7">
        <v>-178.3</v>
      </c>
      <c r="M25" s="2">
        <v>464.4</v>
      </c>
      <c r="N25" s="2">
        <v>55.8</v>
      </c>
      <c r="O25" s="2">
        <v>76.5</v>
      </c>
      <c r="P25" s="2">
        <v>41.4</v>
      </c>
      <c r="Q25" s="7">
        <v>-43.3</v>
      </c>
      <c r="R25" s="2">
        <v>58</v>
      </c>
      <c r="S25" s="7">
        <v>-120.3</v>
      </c>
      <c r="T25" s="7">
        <v>-22.7</v>
      </c>
      <c r="U25" s="2">
        <v>132.9</v>
      </c>
      <c r="V25" s="2">
        <v>29.2</v>
      </c>
      <c r="W25" s="7">
        <v>-32.700000000000003</v>
      </c>
      <c r="X25" s="2">
        <v>26.5</v>
      </c>
      <c r="Y25" s="7">
        <v>-85.3</v>
      </c>
      <c r="Z25" s="7">
        <v>-23.4</v>
      </c>
      <c r="AA25" s="2">
        <v>86.6</v>
      </c>
      <c r="AB25" s="2">
        <v>128.19999999999999</v>
      </c>
      <c r="AC25" s="2">
        <v>82</v>
      </c>
      <c r="AD25" s="2">
        <v>50.9</v>
      </c>
      <c r="AE25" s="2">
        <v>27.5</v>
      </c>
      <c r="AF25" s="2">
        <v>6.6</v>
      </c>
    </row>
    <row r="26" spans="1:32">
      <c r="A26" s="2" t="s">
        <v>343</v>
      </c>
      <c r="B26" s="7">
        <v>-191</v>
      </c>
      <c r="C26" s="7">
        <v>-107</v>
      </c>
      <c r="D26" s="7">
        <v>-83</v>
      </c>
      <c r="E26" s="7">
        <v>-251.6</v>
      </c>
      <c r="F26" s="7">
        <v>-160.30000000000001</v>
      </c>
      <c r="G26" s="7">
        <v>-115.3</v>
      </c>
      <c r="H26" s="7">
        <v>-0.9</v>
      </c>
      <c r="I26" s="7">
        <v>-90.8</v>
      </c>
      <c r="J26" s="7">
        <v>-415.8</v>
      </c>
      <c r="K26" s="7">
        <v>-46.9</v>
      </c>
      <c r="L26" s="7">
        <v>-245.8</v>
      </c>
      <c r="M26" s="7">
        <v>-142.19999999999999</v>
      </c>
      <c r="N26" s="7">
        <v>-73.5</v>
      </c>
      <c r="O26" s="2">
        <v>55.2</v>
      </c>
      <c r="P26" s="2">
        <v>3.9</v>
      </c>
      <c r="Q26" s="2">
        <v>17.3</v>
      </c>
      <c r="R26" s="7">
        <v>-310.2</v>
      </c>
      <c r="S26" s="7">
        <v>-67.7</v>
      </c>
      <c r="T26" s="2">
        <v>80.900000000000006</v>
      </c>
      <c r="U26" s="7">
        <v>-122.8</v>
      </c>
      <c r="V26" s="2">
        <v>52.6</v>
      </c>
      <c r="W26" s="7">
        <v>-108.6</v>
      </c>
      <c r="X26" s="7">
        <v>-27.4</v>
      </c>
      <c r="Y26" s="7">
        <v>-17.899999999999999</v>
      </c>
      <c r="Z26" s="7">
        <v>-6.8</v>
      </c>
      <c r="AA26" s="7">
        <v>-5.8</v>
      </c>
      <c r="AB26" s="7">
        <v>-41.8</v>
      </c>
      <c r="AC26" s="7">
        <v>-34.1</v>
      </c>
      <c r="AD26" s="7">
        <v>-18.2</v>
      </c>
      <c r="AE26" s="7">
        <v>-15.3</v>
      </c>
      <c r="AF26" s="2">
        <v>0.2</v>
      </c>
    </row>
    <row r="27" spans="1:32">
      <c r="A27" s="2" t="s">
        <v>344</v>
      </c>
      <c r="B27" s="5">
        <v>2623</v>
      </c>
      <c r="C27" s="5">
        <v>2510</v>
      </c>
      <c r="D27" s="5">
        <v>2989</v>
      </c>
      <c r="E27" s="5">
        <v>2867.6</v>
      </c>
      <c r="F27" s="5">
        <v>1791.3</v>
      </c>
      <c r="G27" s="5">
        <v>1903.8</v>
      </c>
      <c r="H27" s="5">
        <v>1618.7</v>
      </c>
      <c r="I27" s="5">
        <v>2411.1999999999998</v>
      </c>
      <c r="J27" s="5">
        <v>2155.4</v>
      </c>
      <c r="K27" s="5">
        <v>2239.4</v>
      </c>
      <c r="L27" s="5">
        <v>1933.1</v>
      </c>
      <c r="M27" s="5">
        <v>1555.5</v>
      </c>
      <c r="N27" s="5">
        <v>1492.8</v>
      </c>
      <c r="O27" s="5">
        <v>1511.6</v>
      </c>
      <c r="P27" s="5">
        <v>1404.2</v>
      </c>
      <c r="Q27" s="5">
        <v>1091.5</v>
      </c>
      <c r="R27" s="2">
        <v>885.4</v>
      </c>
      <c r="S27" s="5">
        <v>1582.3</v>
      </c>
      <c r="T27" s="5">
        <v>1596.1</v>
      </c>
      <c r="U27" s="5">
        <v>1402.9</v>
      </c>
      <c r="V27" s="5">
        <v>1123.8</v>
      </c>
      <c r="W27" s="5">
        <v>1191.8</v>
      </c>
      <c r="X27" s="5">
        <v>1189.5</v>
      </c>
      <c r="Y27" s="5">
        <v>1372.8</v>
      </c>
      <c r="Z27" s="5">
        <v>1085</v>
      </c>
      <c r="AA27" s="2">
        <v>955.2</v>
      </c>
      <c r="AB27" s="2">
        <v>708.7</v>
      </c>
      <c r="AC27" s="2">
        <v>585.29999999999995</v>
      </c>
      <c r="AD27" s="2">
        <v>357.8</v>
      </c>
      <c r="AE27" s="2">
        <v>498.1</v>
      </c>
      <c r="AF27" s="2">
        <v>350.4</v>
      </c>
    </row>
    <row r="28" spans="1:32">
      <c r="A28" s="4" t="s">
        <v>345</v>
      </c>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spans="1:32">
      <c r="A29" s="4" t="s">
        <v>346</v>
      </c>
      <c r="B29" s="4">
        <v>-873</v>
      </c>
      <c r="C29" s="4">
        <v>-906</v>
      </c>
      <c r="D29" s="4">
        <v>-832</v>
      </c>
      <c r="E29" s="4">
        <v>-793.3</v>
      </c>
      <c r="F29" s="4">
        <v>-632.79999999999995</v>
      </c>
      <c r="G29" s="4">
        <v>-470.7</v>
      </c>
      <c r="H29" s="4">
        <v>-720.4</v>
      </c>
      <c r="I29" s="4">
        <v>-692.4</v>
      </c>
      <c r="J29" s="4">
        <v>-687.8</v>
      </c>
      <c r="K29" s="4">
        <v>-686.4</v>
      </c>
      <c r="L29" s="4">
        <v>-527.29999999999995</v>
      </c>
      <c r="M29" s="4">
        <v>-542.79999999999995</v>
      </c>
      <c r="N29" s="4">
        <v>-523.20000000000005</v>
      </c>
      <c r="O29" s="4">
        <v>-511.9</v>
      </c>
      <c r="P29" s="4">
        <v>-784.5</v>
      </c>
      <c r="Q29" s="4">
        <v>-636.4</v>
      </c>
      <c r="R29" s="4">
        <v>-594.6</v>
      </c>
      <c r="S29" s="4">
        <v>-464.6</v>
      </c>
      <c r="T29" s="4">
        <v>-516</v>
      </c>
      <c r="U29" s="4">
        <v>-603.20000000000005</v>
      </c>
      <c r="V29" s="4">
        <v>-514.79999999999995</v>
      </c>
      <c r="W29" s="4">
        <v>-390.2</v>
      </c>
      <c r="X29" s="4">
        <v>-530.1</v>
      </c>
      <c r="Y29" s="4">
        <v>-435.6</v>
      </c>
      <c r="Z29" s="4">
        <v>-416.4</v>
      </c>
      <c r="AA29" s="4">
        <v>-341.1</v>
      </c>
      <c r="AB29" s="4">
        <v>-266.39999999999998</v>
      </c>
      <c r="AC29" s="4">
        <v>-286.7</v>
      </c>
      <c r="AD29" s="4">
        <v>-259.39999999999998</v>
      </c>
      <c r="AE29" s="4">
        <v>-210.9</v>
      </c>
      <c r="AF29" s="4">
        <v>-235.9</v>
      </c>
    </row>
    <row r="30" spans="1:32">
      <c r="A30" s="2" t="s">
        <v>347</v>
      </c>
      <c r="B30" s="7">
        <v>-873</v>
      </c>
      <c r="C30" s="7">
        <v>-906</v>
      </c>
      <c r="D30" s="7">
        <v>-832</v>
      </c>
      <c r="E30" s="7">
        <v>-793.3</v>
      </c>
      <c r="F30" s="7">
        <v>-632.79999999999995</v>
      </c>
      <c r="G30" s="7">
        <v>-470.7</v>
      </c>
      <c r="H30" s="7">
        <v>-720.4</v>
      </c>
      <c r="I30" s="7">
        <v>-692.4</v>
      </c>
      <c r="J30" s="7">
        <v>-687.8</v>
      </c>
      <c r="K30" s="7">
        <v>-686.4</v>
      </c>
      <c r="L30" s="7">
        <v>-527.29999999999995</v>
      </c>
      <c r="M30" s="7">
        <v>-542.79999999999995</v>
      </c>
      <c r="N30" s="7">
        <v>-523.20000000000005</v>
      </c>
      <c r="O30" s="7">
        <v>-511.9</v>
      </c>
      <c r="P30" s="7">
        <v>-784.5</v>
      </c>
      <c r="Q30" s="7">
        <v>-636.4</v>
      </c>
      <c r="R30" s="7">
        <v>-594.6</v>
      </c>
      <c r="S30" s="7">
        <v>-464.6</v>
      </c>
      <c r="T30" s="7">
        <v>-516</v>
      </c>
      <c r="U30" s="7">
        <v>-603.20000000000005</v>
      </c>
      <c r="V30" s="7">
        <v>-514.79999999999995</v>
      </c>
      <c r="W30" s="7">
        <v>-390.2</v>
      </c>
      <c r="X30" s="7">
        <v>-530.1</v>
      </c>
      <c r="Y30" s="7">
        <v>-435.6</v>
      </c>
      <c r="Z30" s="7">
        <v>-416.4</v>
      </c>
      <c r="AA30" s="7">
        <v>-341.1</v>
      </c>
      <c r="AB30" s="7">
        <v>-266.39999999999998</v>
      </c>
      <c r="AC30" s="7">
        <v>-286.7</v>
      </c>
      <c r="AD30" s="7">
        <v>-259.39999999999998</v>
      </c>
      <c r="AE30" s="7">
        <v>-210.9</v>
      </c>
      <c r="AF30" s="7">
        <v>-235.9</v>
      </c>
    </row>
    <row r="31" spans="1:32">
      <c r="A31" s="2" t="s">
        <v>348</v>
      </c>
      <c r="B31" s="7">
        <v>-133</v>
      </c>
      <c r="C31" s="7">
        <v>-40</v>
      </c>
      <c r="D31" s="8">
        <v>-1210</v>
      </c>
      <c r="E31" s="7">
        <v>-37.4</v>
      </c>
      <c r="F31" s="8">
        <v>-1281.0999999999999</v>
      </c>
      <c r="G31" s="2">
        <v>0</v>
      </c>
      <c r="H31" s="7">
        <v>-142.80000000000001</v>
      </c>
      <c r="I31" s="7">
        <v>-106.6</v>
      </c>
      <c r="J31" s="7">
        <v>-248.1</v>
      </c>
      <c r="K31" s="8">
        <v>-2921.8</v>
      </c>
      <c r="L31" s="7">
        <v>-219.2</v>
      </c>
      <c r="M31" s="7">
        <v>-115.9</v>
      </c>
      <c r="N31" s="7">
        <v>-79.3</v>
      </c>
      <c r="O31" s="7">
        <v>-397.4</v>
      </c>
      <c r="P31" s="7">
        <v>-110.6</v>
      </c>
      <c r="Q31" s="7">
        <v>-101.1</v>
      </c>
      <c r="R31" s="7">
        <v>-29.3</v>
      </c>
      <c r="S31" s="7">
        <v>-218.1</v>
      </c>
      <c r="T31" s="7">
        <v>-55.3</v>
      </c>
      <c r="U31" s="7">
        <v>-59.3</v>
      </c>
      <c r="V31" s="7">
        <v>-114.4</v>
      </c>
      <c r="W31" s="7">
        <v>-115.6</v>
      </c>
      <c r="X31" s="7">
        <v>-79.2</v>
      </c>
      <c r="Y31" s="7">
        <v>-209</v>
      </c>
      <c r="Z31" s="7">
        <v>-234.6</v>
      </c>
      <c r="AA31" s="7">
        <v>-10.4</v>
      </c>
      <c r="AB31" s="7">
        <v>-211.9</v>
      </c>
      <c r="AC31" s="2">
        <v>0</v>
      </c>
      <c r="AD31" s="7">
        <v>-84.5</v>
      </c>
      <c r="AE31" s="7">
        <v>-5.3</v>
      </c>
      <c r="AF31" s="2">
        <v>0</v>
      </c>
    </row>
    <row r="32" spans="1:32">
      <c r="A32" s="2" t="s">
        <v>349</v>
      </c>
      <c r="B32" s="2">
        <v>150</v>
      </c>
      <c r="C32" s="2">
        <v>214</v>
      </c>
      <c r="D32" s="2">
        <v>79</v>
      </c>
      <c r="E32" s="2">
        <v>42.1</v>
      </c>
      <c r="F32" s="2">
        <v>24.1</v>
      </c>
      <c r="G32" s="2">
        <v>59.1</v>
      </c>
      <c r="H32" s="2">
        <v>28.7</v>
      </c>
      <c r="I32" s="2">
        <v>170.8</v>
      </c>
      <c r="J32" s="2">
        <v>22.3</v>
      </c>
      <c r="K32" s="2">
        <v>23.7</v>
      </c>
      <c r="L32" s="2">
        <v>23.5</v>
      </c>
      <c r="M32" s="2">
        <v>24.5</v>
      </c>
      <c r="N32" s="2">
        <v>25.8</v>
      </c>
      <c r="O32" s="2">
        <v>15.5</v>
      </c>
      <c r="P32" s="2">
        <v>8.1999999999999993</v>
      </c>
      <c r="Q32" s="2">
        <v>19.100000000000001</v>
      </c>
      <c r="R32" s="2">
        <v>21.7</v>
      </c>
      <c r="S32" s="2">
        <v>25.2</v>
      </c>
      <c r="T32" s="2">
        <v>13.3</v>
      </c>
      <c r="U32" s="2">
        <v>16</v>
      </c>
      <c r="V32" s="2">
        <v>22.7</v>
      </c>
      <c r="W32" s="2">
        <v>25.5</v>
      </c>
      <c r="X32" s="2">
        <v>15.9</v>
      </c>
      <c r="Y32" s="2">
        <v>14.6</v>
      </c>
      <c r="Z32" s="2">
        <v>20.7</v>
      </c>
      <c r="AA32" s="2">
        <v>12.8</v>
      </c>
      <c r="AB32" s="2">
        <v>18.899999999999999</v>
      </c>
      <c r="AC32" s="2">
        <v>25</v>
      </c>
      <c r="AD32" s="2">
        <v>8.3000000000000007</v>
      </c>
      <c r="AE32" s="2">
        <v>2.8</v>
      </c>
      <c r="AF32" s="2">
        <v>11</v>
      </c>
    </row>
    <row r="33" spans="1:32">
      <c r="A33" s="4" t="s">
        <v>350</v>
      </c>
      <c r="B33" s="4">
        <v>8</v>
      </c>
      <c r="C33" s="4">
        <v>-3</v>
      </c>
      <c r="D33" s="4">
        <v>-4</v>
      </c>
      <c r="E33" s="4">
        <v>-4.5999999999999996</v>
      </c>
      <c r="F33" s="4">
        <v>-2.7</v>
      </c>
      <c r="G33" s="4">
        <v>-17.2</v>
      </c>
      <c r="H33" s="4">
        <v>9.1</v>
      </c>
      <c r="I33" s="4">
        <v>-116.4</v>
      </c>
      <c r="J33" s="4">
        <v>0</v>
      </c>
      <c r="K33" s="4">
        <v>0</v>
      </c>
      <c r="L33" s="4">
        <v>168.3</v>
      </c>
      <c r="M33" s="4">
        <v>-20.100000000000001</v>
      </c>
      <c r="N33" s="4">
        <v>-0.1</v>
      </c>
      <c r="O33" s="4">
        <v>-18.100000000000001</v>
      </c>
      <c r="P33" s="4">
        <v>-16.7</v>
      </c>
      <c r="Q33" s="4">
        <v>39</v>
      </c>
      <c r="R33" s="4">
        <v>-54.1</v>
      </c>
      <c r="S33" s="4">
        <v>-1.3</v>
      </c>
      <c r="T33" s="4">
        <v>2.2999999999999998</v>
      </c>
      <c r="U33" s="4">
        <v>-2.2000000000000002</v>
      </c>
      <c r="V33" s="4">
        <v>-2.2000000000000002</v>
      </c>
      <c r="W33" s="4">
        <v>66.900000000000006</v>
      </c>
      <c r="X33" s="4">
        <v>0</v>
      </c>
      <c r="Y33" s="4">
        <v>0</v>
      </c>
      <c r="Z33" s="4">
        <v>0</v>
      </c>
      <c r="AA33" s="4">
        <v>0</v>
      </c>
      <c r="AB33" s="4">
        <v>0</v>
      </c>
      <c r="AC33" s="4">
        <v>0</v>
      </c>
      <c r="AD33" s="4">
        <v>0</v>
      </c>
      <c r="AE33" s="4">
        <v>0</v>
      </c>
      <c r="AF33" s="4">
        <v>0</v>
      </c>
    </row>
    <row r="34" spans="1:32">
      <c r="A34" s="2" t="s">
        <v>351</v>
      </c>
      <c r="B34" s="2">
        <v>16</v>
      </c>
      <c r="C34" s="2">
        <v>32</v>
      </c>
      <c r="D34" s="2">
        <v>33</v>
      </c>
      <c r="E34" s="2">
        <v>16.2</v>
      </c>
      <c r="F34" s="2">
        <v>19.3</v>
      </c>
      <c r="G34" s="2">
        <v>53.1</v>
      </c>
      <c r="H34" s="2">
        <v>11.4</v>
      </c>
      <c r="I34" s="2">
        <v>116.4</v>
      </c>
      <c r="J34" s="2">
        <v>0</v>
      </c>
      <c r="K34" s="2">
        <v>0</v>
      </c>
      <c r="L34" s="2">
        <v>0</v>
      </c>
      <c r="M34" s="2">
        <v>20.100000000000001</v>
      </c>
      <c r="N34" s="2">
        <v>0.1</v>
      </c>
      <c r="O34" s="2">
        <v>18.100000000000001</v>
      </c>
      <c r="P34" s="2">
        <v>16.7</v>
      </c>
      <c r="Q34" s="2">
        <v>0</v>
      </c>
      <c r="R34" s="2">
        <v>115.7</v>
      </c>
      <c r="S34" s="2">
        <v>1.3</v>
      </c>
      <c r="T34" s="2">
        <v>0</v>
      </c>
      <c r="U34" s="2">
        <v>2.2000000000000002</v>
      </c>
      <c r="V34" s="2">
        <v>2.2000000000000002</v>
      </c>
      <c r="W34" s="2">
        <v>0</v>
      </c>
      <c r="X34" s="2">
        <v>0</v>
      </c>
      <c r="Y34" s="2">
        <v>0</v>
      </c>
      <c r="Z34" s="2">
        <v>0</v>
      </c>
      <c r="AA34" s="2">
        <v>0</v>
      </c>
      <c r="AB34" s="2">
        <v>0</v>
      </c>
      <c r="AC34" s="2">
        <v>0</v>
      </c>
      <c r="AD34" s="2">
        <v>0</v>
      </c>
      <c r="AE34" s="2">
        <v>0</v>
      </c>
      <c r="AF34" s="2">
        <v>0</v>
      </c>
    </row>
    <row r="35" spans="1:32">
      <c r="A35" s="2" t="s">
        <v>352</v>
      </c>
      <c r="B35" s="2">
        <v>24</v>
      </c>
      <c r="C35" s="2">
        <v>29</v>
      </c>
      <c r="D35" s="2">
        <v>29</v>
      </c>
      <c r="E35" s="2">
        <v>11.6</v>
      </c>
      <c r="F35" s="2">
        <v>16.600000000000001</v>
      </c>
      <c r="G35" s="2">
        <v>36</v>
      </c>
      <c r="H35" s="2">
        <v>20.5</v>
      </c>
      <c r="I35" s="2">
        <v>0</v>
      </c>
      <c r="J35" s="2">
        <v>0</v>
      </c>
      <c r="K35" s="2">
        <v>0</v>
      </c>
      <c r="L35" s="2">
        <v>168.3</v>
      </c>
      <c r="M35" s="2">
        <v>0</v>
      </c>
      <c r="N35" s="2">
        <v>0</v>
      </c>
      <c r="O35" s="2">
        <v>0</v>
      </c>
      <c r="P35" s="2">
        <v>0</v>
      </c>
      <c r="Q35" s="2">
        <v>39</v>
      </c>
      <c r="R35" s="2">
        <v>61.6</v>
      </c>
      <c r="S35" s="2">
        <v>0</v>
      </c>
      <c r="T35" s="2">
        <v>2.2999999999999998</v>
      </c>
      <c r="U35" s="2">
        <v>0</v>
      </c>
      <c r="V35" s="2">
        <v>0</v>
      </c>
      <c r="W35" s="2">
        <v>66.900000000000006</v>
      </c>
      <c r="X35" s="2">
        <v>0</v>
      </c>
      <c r="Y35" s="2">
        <v>0</v>
      </c>
      <c r="Z35" s="2">
        <v>0</v>
      </c>
      <c r="AA35" s="2">
        <v>0</v>
      </c>
      <c r="AB35" s="2">
        <v>0</v>
      </c>
      <c r="AC35" s="2">
        <v>0</v>
      </c>
      <c r="AD35" s="2">
        <v>0</v>
      </c>
      <c r="AE35" s="2">
        <v>0</v>
      </c>
      <c r="AF35" s="2">
        <v>0</v>
      </c>
    </row>
    <row r="36" spans="1:32">
      <c r="A36" s="4" t="s">
        <v>337</v>
      </c>
      <c r="B36" s="4">
        <v>35</v>
      </c>
      <c r="C36" s="4">
        <v>18</v>
      </c>
      <c r="D36" s="4">
        <v>5</v>
      </c>
      <c r="E36" s="4">
        <v>8.5</v>
      </c>
      <c r="F36" s="4">
        <v>14.3</v>
      </c>
      <c r="G36" s="4">
        <v>0</v>
      </c>
      <c r="H36" s="4">
        <v>69.099999999999994</v>
      </c>
      <c r="I36" s="4">
        <v>1.8</v>
      </c>
      <c r="J36" s="4">
        <v>3.3</v>
      </c>
      <c r="K36" s="4">
        <v>0</v>
      </c>
      <c r="L36" s="4">
        <v>-46</v>
      </c>
      <c r="M36" s="4">
        <v>0</v>
      </c>
      <c r="N36" s="4">
        <v>0</v>
      </c>
      <c r="O36" s="4">
        <v>0</v>
      </c>
      <c r="P36" s="4">
        <v>0</v>
      </c>
      <c r="Q36" s="4">
        <v>0</v>
      </c>
      <c r="R36" s="4">
        <v>0</v>
      </c>
      <c r="S36" s="4">
        <v>0</v>
      </c>
      <c r="T36" s="4">
        <v>0</v>
      </c>
      <c r="U36" s="4">
        <v>0</v>
      </c>
      <c r="V36" s="4">
        <v>0</v>
      </c>
      <c r="W36" s="4">
        <v>0</v>
      </c>
      <c r="X36" s="4">
        <v>-90.3</v>
      </c>
      <c r="Y36" s="4">
        <v>-51.8</v>
      </c>
      <c r="Z36" s="4">
        <v>0</v>
      </c>
      <c r="AA36" s="4">
        <v>0</v>
      </c>
      <c r="AB36" s="4">
        <v>0</v>
      </c>
      <c r="AC36" s="4">
        <v>0</v>
      </c>
      <c r="AD36" s="4">
        <v>0</v>
      </c>
      <c r="AE36" s="4">
        <v>0</v>
      </c>
      <c r="AF36" s="4">
        <v>0</v>
      </c>
    </row>
    <row r="37" spans="1:32">
      <c r="A37" s="2" t="s">
        <v>365</v>
      </c>
      <c r="B37" s="2">
        <v>0</v>
      </c>
      <c r="C37" s="2">
        <v>0</v>
      </c>
      <c r="D37" s="2">
        <v>0</v>
      </c>
      <c r="E37" s="2">
        <v>0</v>
      </c>
      <c r="F37" s="2">
        <v>0</v>
      </c>
      <c r="G37" s="2">
        <v>0</v>
      </c>
      <c r="H37" s="2">
        <v>0</v>
      </c>
      <c r="I37" s="2">
        <v>0</v>
      </c>
      <c r="J37" s="2">
        <v>0</v>
      </c>
      <c r="K37" s="2">
        <v>0</v>
      </c>
      <c r="L37" s="7">
        <v>-103.5</v>
      </c>
      <c r="M37" s="2">
        <v>0</v>
      </c>
      <c r="N37" s="2">
        <v>0</v>
      </c>
      <c r="O37" s="2">
        <v>0</v>
      </c>
      <c r="P37" s="2">
        <v>0</v>
      </c>
      <c r="Q37" s="2">
        <v>0</v>
      </c>
      <c r="R37" s="2">
        <v>0</v>
      </c>
      <c r="S37" s="2">
        <v>0</v>
      </c>
      <c r="T37" s="2">
        <v>0</v>
      </c>
      <c r="U37" s="2">
        <v>0</v>
      </c>
      <c r="V37" s="2">
        <v>0</v>
      </c>
      <c r="W37" s="2">
        <v>0</v>
      </c>
      <c r="X37" s="7">
        <v>-90.3</v>
      </c>
      <c r="Y37" s="7">
        <v>-51.8</v>
      </c>
      <c r="Z37" s="2">
        <v>0</v>
      </c>
      <c r="AA37" s="2">
        <v>0</v>
      </c>
      <c r="AB37" s="2">
        <v>0</v>
      </c>
      <c r="AC37" s="2">
        <v>0</v>
      </c>
      <c r="AD37" s="2">
        <v>0</v>
      </c>
      <c r="AE37" s="2">
        <v>0</v>
      </c>
      <c r="AF37" s="2">
        <v>0</v>
      </c>
    </row>
    <row r="38" spans="1:32">
      <c r="A38" s="2" t="s">
        <v>353</v>
      </c>
      <c r="B38" s="2">
        <v>35</v>
      </c>
      <c r="C38" s="2">
        <v>18</v>
      </c>
      <c r="D38" s="2">
        <v>5</v>
      </c>
      <c r="E38" s="2">
        <v>8.5</v>
      </c>
      <c r="F38" s="2">
        <v>14.3</v>
      </c>
      <c r="G38" s="2">
        <v>0</v>
      </c>
      <c r="H38" s="2">
        <v>69.099999999999994</v>
      </c>
      <c r="I38" s="2">
        <v>1.8</v>
      </c>
      <c r="J38" s="2">
        <v>3.3</v>
      </c>
      <c r="K38" s="2">
        <v>0</v>
      </c>
      <c r="L38" s="2">
        <v>57.5</v>
      </c>
      <c r="M38" s="2">
        <v>0</v>
      </c>
      <c r="N38" s="2">
        <v>0</v>
      </c>
      <c r="O38" s="2">
        <v>0</v>
      </c>
      <c r="P38" s="2">
        <v>0</v>
      </c>
      <c r="Q38" s="2">
        <v>0</v>
      </c>
      <c r="R38" s="2">
        <v>0</v>
      </c>
      <c r="S38" s="2">
        <v>0</v>
      </c>
      <c r="T38" s="2">
        <v>0</v>
      </c>
      <c r="U38" s="2">
        <v>0</v>
      </c>
      <c r="V38" s="2">
        <v>0</v>
      </c>
      <c r="W38" s="2">
        <v>0</v>
      </c>
      <c r="X38" s="2">
        <v>0</v>
      </c>
      <c r="Y38" s="2">
        <v>0</v>
      </c>
      <c r="Z38" s="2">
        <v>0</v>
      </c>
      <c r="AA38" s="2">
        <v>0</v>
      </c>
      <c r="AB38" s="2">
        <v>0</v>
      </c>
      <c r="AC38" s="2">
        <v>0</v>
      </c>
      <c r="AD38" s="2">
        <v>0</v>
      </c>
      <c r="AE38" s="2">
        <v>0</v>
      </c>
      <c r="AF38" s="2">
        <v>0</v>
      </c>
    </row>
    <row r="39" spans="1:32">
      <c r="A39" s="2" t="s">
        <v>354</v>
      </c>
      <c r="B39" s="7">
        <v>-813</v>
      </c>
      <c r="C39" s="7">
        <v>-717</v>
      </c>
      <c r="D39" s="8">
        <v>-1962</v>
      </c>
      <c r="E39" s="7">
        <v>-784.6</v>
      </c>
      <c r="F39" s="8">
        <v>-1878.2</v>
      </c>
      <c r="G39" s="7">
        <v>-428.7</v>
      </c>
      <c r="H39" s="7">
        <v>-756.3</v>
      </c>
      <c r="I39" s="7">
        <v>-742.9</v>
      </c>
      <c r="J39" s="7">
        <v>-910.4</v>
      </c>
      <c r="K39" s="8">
        <v>-3584.5</v>
      </c>
      <c r="L39" s="7">
        <v>-600.79999999999995</v>
      </c>
      <c r="M39" s="7">
        <v>-654.29999999999995</v>
      </c>
      <c r="N39" s="7">
        <v>-576.79999999999995</v>
      </c>
      <c r="O39" s="7">
        <v>-911.9</v>
      </c>
      <c r="P39" s="7">
        <v>-903.6</v>
      </c>
      <c r="Q39" s="7">
        <v>-679.6</v>
      </c>
      <c r="R39" s="7">
        <v>-656.3</v>
      </c>
      <c r="S39" s="7">
        <v>-658.7</v>
      </c>
      <c r="T39" s="7">
        <v>-555.6</v>
      </c>
      <c r="U39" s="7">
        <v>-648.70000000000005</v>
      </c>
      <c r="V39" s="7">
        <v>-608.70000000000005</v>
      </c>
      <c r="W39" s="7">
        <v>-413.4</v>
      </c>
      <c r="X39" s="7">
        <v>-683.8</v>
      </c>
      <c r="Y39" s="7">
        <v>-681.8</v>
      </c>
      <c r="Z39" s="7">
        <v>-630.29999999999995</v>
      </c>
      <c r="AA39" s="7">
        <v>-338.8</v>
      </c>
      <c r="AB39" s="7">
        <v>-459.4</v>
      </c>
      <c r="AC39" s="7">
        <v>-261.7</v>
      </c>
      <c r="AD39" s="7">
        <v>-335.5</v>
      </c>
      <c r="AE39" s="7">
        <v>-213.4</v>
      </c>
      <c r="AF39" s="7">
        <v>-224.9</v>
      </c>
    </row>
    <row r="40" spans="1:32">
      <c r="A40" s="4" t="s">
        <v>355</v>
      </c>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spans="1:32">
      <c r="A41" s="4" t="s">
        <v>32</v>
      </c>
      <c r="B41" s="6">
        <v>-1015</v>
      </c>
      <c r="C41" s="6">
        <v>-1000</v>
      </c>
      <c r="D41" s="6">
        <v>-1008</v>
      </c>
      <c r="E41" s="4">
        <v>-996</v>
      </c>
      <c r="F41" s="4">
        <v>-958.9</v>
      </c>
      <c r="G41" s="4">
        <v>-917.6</v>
      </c>
      <c r="H41" s="4">
        <v>-856.3</v>
      </c>
      <c r="I41" s="4">
        <v>-775.4</v>
      </c>
      <c r="J41" s="4">
        <v>-722.2</v>
      </c>
      <c r="K41" s="4">
        <v>-698.6</v>
      </c>
      <c r="L41" s="4">
        <v>-698.9</v>
      </c>
      <c r="M41" s="4">
        <v>-695.3</v>
      </c>
      <c r="N41" s="4">
        <v>-667.2</v>
      </c>
      <c r="O41" s="4">
        <v>-648.29999999999995</v>
      </c>
      <c r="P41" s="4">
        <v>-622.9</v>
      </c>
      <c r="Q41" s="4">
        <v>-597.1</v>
      </c>
      <c r="R41" s="4">
        <v>-579.79999999999995</v>
      </c>
      <c r="S41" s="4">
        <v>-548.20000000000005</v>
      </c>
      <c r="T41" s="4">
        <v>-497.5</v>
      </c>
      <c r="U41" s="4">
        <v>-445.4</v>
      </c>
      <c r="V41" s="4">
        <v>-397.5</v>
      </c>
      <c r="W41" s="4">
        <v>-357.3</v>
      </c>
      <c r="X41" s="4">
        <v>-309.5</v>
      </c>
      <c r="Y41" s="4">
        <v>-261.89999999999998</v>
      </c>
      <c r="Z41" s="4">
        <v>-213.3</v>
      </c>
      <c r="AA41" s="4">
        <v>-173.7</v>
      </c>
      <c r="AB41" s="4">
        <v>-145.4</v>
      </c>
      <c r="AC41" s="4">
        <v>-126.7</v>
      </c>
      <c r="AD41" s="4">
        <v>-110.9</v>
      </c>
      <c r="AE41" s="4">
        <v>-99.6</v>
      </c>
      <c r="AF41" s="4">
        <v>-87.7</v>
      </c>
    </row>
    <row r="42" spans="1:32">
      <c r="A42" s="2" t="s">
        <v>356</v>
      </c>
      <c r="B42" s="8">
        <v>-1015</v>
      </c>
      <c r="C42" s="8">
        <v>-1000</v>
      </c>
      <c r="D42" s="8">
        <v>-1008</v>
      </c>
      <c r="E42" s="7">
        <v>-996</v>
      </c>
      <c r="F42" s="7">
        <v>-958.9</v>
      </c>
      <c r="G42" s="7">
        <v>-917.6</v>
      </c>
      <c r="H42" s="7">
        <v>-856.3</v>
      </c>
      <c r="I42" s="7">
        <v>-775.4</v>
      </c>
      <c r="J42" s="7">
        <v>-722.2</v>
      </c>
      <c r="K42" s="7">
        <v>-698.6</v>
      </c>
      <c r="L42" s="7">
        <v>-698.9</v>
      </c>
      <c r="M42" s="7">
        <v>-695.3</v>
      </c>
      <c r="N42" s="7">
        <v>-667.2</v>
      </c>
      <c r="O42" s="7">
        <v>-648.29999999999995</v>
      </c>
      <c r="P42" s="7">
        <v>-622.9</v>
      </c>
      <c r="Q42" s="7">
        <v>-597.1</v>
      </c>
      <c r="R42" s="7">
        <v>-579.79999999999995</v>
      </c>
      <c r="S42" s="7">
        <v>-548.20000000000005</v>
      </c>
      <c r="T42" s="7">
        <v>-497.5</v>
      </c>
      <c r="U42" s="7">
        <v>-445.4</v>
      </c>
      <c r="V42" s="7">
        <v>-397.5</v>
      </c>
      <c r="W42" s="7">
        <v>-357.3</v>
      </c>
      <c r="X42" s="7">
        <v>-309.5</v>
      </c>
      <c r="Y42" s="7">
        <v>-261.89999999999998</v>
      </c>
      <c r="Z42" s="7">
        <v>-213.3</v>
      </c>
      <c r="AA42" s="7">
        <v>-173.7</v>
      </c>
      <c r="AB42" s="7">
        <v>-145.4</v>
      </c>
      <c r="AC42" s="7">
        <v>-126.7</v>
      </c>
      <c r="AD42" s="7">
        <v>-110.9</v>
      </c>
      <c r="AE42" s="7">
        <v>-99.6</v>
      </c>
      <c r="AF42" s="7">
        <v>-87.7</v>
      </c>
    </row>
    <row r="43" spans="1:32">
      <c r="A43" s="4" t="s">
        <v>33</v>
      </c>
      <c r="B43" s="4">
        <v>-847</v>
      </c>
      <c r="C43" s="6">
        <v>-1140</v>
      </c>
      <c r="D43" s="6">
        <v>-1112</v>
      </c>
      <c r="E43" s="4">
        <v>-420.9</v>
      </c>
      <c r="F43" s="4">
        <v>-371.7</v>
      </c>
      <c r="G43" s="4">
        <v>130.4</v>
      </c>
      <c r="H43" s="4">
        <v>-617.1</v>
      </c>
      <c r="I43" s="4">
        <v>-768.9</v>
      </c>
      <c r="J43" s="4">
        <v>-710.2</v>
      </c>
      <c r="K43" s="6">
        <v>-1681.3</v>
      </c>
      <c r="L43" s="6">
        <v>-1667</v>
      </c>
      <c r="M43" s="4">
        <v>240.2</v>
      </c>
      <c r="N43" s="4">
        <v>-76.8</v>
      </c>
      <c r="O43" s="4">
        <v>-93</v>
      </c>
      <c r="P43" s="4">
        <v>-172.9</v>
      </c>
      <c r="Q43" s="4">
        <v>41.1</v>
      </c>
      <c r="R43" s="4">
        <v>-84.4</v>
      </c>
      <c r="S43" s="4">
        <v>-327.10000000000002</v>
      </c>
      <c r="T43" s="4">
        <v>-400.9</v>
      </c>
      <c r="U43" s="4">
        <v>-329.1</v>
      </c>
      <c r="V43" s="4">
        <v>-416.1</v>
      </c>
      <c r="W43" s="4">
        <v>-389.7</v>
      </c>
      <c r="X43" s="4">
        <v>-440.9</v>
      </c>
      <c r="Y43" s="4">
        <v>-377.2</v>
      </c>
      <c r="Z43" s="4">
        <v>-387.2</v>
      </c>
      <c r="AA43" s="4">
        <v>-352.7</v>
      </c>
      <c r="AB43" s="4">
        <v>-134</v>
      </c>
      <c r="AC43" s="4">
        <v>-165.2</v>
      </c>
      <c r="AD43" s="4">
        <v>-229.5</v>
      </c>
      <c r="AE43" s="4">
        <v>-277.2</v>
      </c>
      <c r="AF43" s="4">
        <v>-206.7</v>
      </c>
    </row>
    <row r="44" spans="1:32">
      <c r="A44" s="2" t="s">
        <v>357</v>
      </c>
      <c r="B44" s="7">
        <v>-950</v>
      </c>
      <c r="C44" s="8">
        <v>-1250</v>
      </c>
      <c r="D44" s="8">
        <v>-1232</v>
      </c>
      <c r="E44" s="7">
        <v>-500.1</v>
      </c>
      <c r="F44" s="7">
        <v>-499.8</v>
      </c>
      <c r="G44" s="2">
        <v>0</v>
      </c>
      <c r="H44" s="7">
        <v>-844.7</v>
      </c>
      <c r="I44" s="8">
        <v>-1022</v>
      </c>
      <c r="J44" s="7">
        <v>-978.9</v>
      </c>
      <c r="K44" s="8">
        <v>-1886.1</v>
      </c>
      <c r="L44" s="8">
        <v>-1949.4</v>
      </c>
      <c r="M44" s="2">
        <v>0</v>
      </c>
      <c r="N44" s="7">
        <v>-332.4</v>
      </c>
      <c r="O44" s="7">
        <v>-721.6</v>
      </c>
      <c r="P44" s="7">
        <v>-272.3</v>
      </c>
      <c r="Q44" s="7">
        <v>-291.60000000000002</v>
      </c>
      <c r="R44" s="7">
        <v>-179.2</v>
      </c>
      <c r="S44" s="7">
        <v>-438.8</v>
      </c>
      <c r="T44" s="7">
        <v>-529.20000000000005</v>
      </c>
      <c r="U44" s="7">
        <v>-550.9</v>
      </c>
      <c r="V44" s="7">
        <v>-544.1</v>
      </c>
      <c r="W44" s="7">
        <v>-597.70000000000005</v>
      </c>
      <c r="X44" s="7">
        <v>-608.5</v>
      </c>
      <c r="Y44" s="7">
        <v>-478.5</v>
      </c>
      <c r="Z44" s="7">
        <v>-473.6</v>
      </c>
      <c r="AA44" s="7">
        <v>-428.2</v>
      </c>
      <c r="AB44" s="7">
        <v>-186.3</v>
      </c>
      <c r="AC44" s="7">
        <v>-204</v>
      </c>
      <c r="AD44" s="7">
        <v>-263.39999999999998</v>
      </c>
      <c r="AE44" s="7">
        <v>-305.3</v>
      </c>
      <c r="AF44" s="7">
        <v>-232.1</v>
      </c>
    </row>
    <row r="45" spans="1:32">
      <c r="A45" s="4" t="s">
        <v>358</v>
      </c>
      <c r="B45" s="4">
        <v>103</v>
      </c>
      <c r="C45" s="4">
        <v>110</v>
      </c>
      <c r="D45" s="4">
        <v>120</v>
      </c>
      <c r="E45" s="4">
        <v>79.2</v>
      </c>
      <c r="F45" s="4">
        <v>128.19999999999999</v>
      </c>
      <c r="G45" s="4">
        <v>130.4</v>
      </c>
      <c r="H45" s="4">
        <v>227.6</v>
      </c>
      <c r="I45" s="4">
        <v>253.1</v>
      </c>
      <c r="J45" s="4">
        <v>268.8</v>
      </c>
      <c r="K45" s="4">
        <v>204.8</v>
      </c>
      <c r="L45" s="4">
        <v>282.5</v>
      </c>
      <c r="M45" s="4">
        <v>240.2</v>
      </c>
      <c r="N45" s="4">
        <v>255.6</v>
      </c>
      <c r="O45" s="4">
        <v>628.70000000000005</v>
      </c>
      <c r="P45" s="4">
        <v>99.4</v>
      </c>
      <c r="Q45" s="4">
        <v>332.7</v>
      </c>
      <c r="R45" s="4">
        <v>94.8</v>
      </c>
      <c r="S45" s="4">
        <v>111.8</v>
      </c>
      <c r="T45" s="4">
        <v>128.19999999999999</v>
      </c>
      <c r="U45" s="4">
        <v>221.7</v>
      </c>
      <c r="V45" s="4">
        <v>128.1</v>
      </c>
      <c r="W45" s="4">
        <v>208</v>
      </c>
      <c r="X45" s="4">
        <v>167.7</v>
      </c>
      <c r="Y45" s="4">
        <v>101.3</v>
      </c>
      <c r="Z45" s="4">
        <v>86.3</v>
      </c>
      <c r="AA45" s="4">
        <v>75.5</v>
      </c>
      <c r="AB45" s="4">
        <v>52.3</v>
      </c>
      <c r="AC45" s="4">
        <v>38.799999999999997</v>
      </c>
      <c r="AD45" s="4">
        <v>33.9</v>
      </c>
      <c r="AE45" s="4">
        <v>28.1</v>
      </c>
      <c r="AF45" s="4">
        <v>25.4</v>
      </c>
    </row>
    <row r="46" spans="1:32">
      <c r="A46" s="2" t="s">
        <v>378</v>
      </c>
      <c r="B46" s="2">
        <v>0</v>
      </c>
      <c r="C46" s="2">
        <v>0</v>
      </c>
      <c r="D46" s="2">
        <v>0</v>
      </c>
      <c r="E46" s="2">
        <v>0</v>
      </c>
      <c r="F46" s="2">
        <v>0</v>
      </c>
      <c r="G46" s="2">
        <v>0</v>
      </c>
      <c r="H46" s="2">
        <v>0</v>
      </c>
      <c r="I46" s="2">
        <v>0</v>
      </c>
      <c r="J46" s="2">
        <v>0</v>
      </c>
      <c r="K46" s="2">
        <v>0</v>
      </c>
      <c r="L46" s="2">
        <v>0</v>
      </c>
      <c r="M46" s="2">
        <v>0</v>
      </c>
      <c r="N46" s="2">
        <v>255.6</v>
      </c>
      <c r="O46" s="2">
        <v>628.70000000000005</v>
      </c>
      <c r="P46" s="2">
        <v>99.4</v>
      </c>
      <c r="Q46" s="2">
        <v>332.7</v>
      </c>
      <c r="R46" s="2">
        <v>94.8</v>
      </c>
      <c r="S46" s="2">
        <v>111.8</v>
      </c>
      <c r="T46" s="2">
        <v>128.19999999999999</v>
      </c>
      <c r="U46" s="2">
        <v>221.7</v>
      </c>
      <c r="V46" s="2">
        <v>128.1</v>
      </c>
      <c r="W46" s="2">
        <v>208</v>
      </c>
      <c r="X46" s="2">
        <v>167.7</v>
      </c>
      <c r="Y46" s="2">
        <v>101.3</v>
      </c>
      <c r="Z46" s="2">
        <v>86.3</v>
      </c>
      <c r="AA46" s="2">
        <v>75.5</v>
      </c>
      <c r="AB46" s="2">
        <v>52.3</v>
      </c>
      <c r="AC46" s="2">
        <v>38.799999999999997</v>
      </c>
      <c r="AD46" s="2">
        <v>33.9</v>
      </c>
      <c r="AE46" s="2">
        <v>28.1</v>
      </c>
      <c r="AF46" s="2">
        <v>25.4</v>
      </c>
    </row>
    <row r="47" spans="1:32">
      <c r="A47" s="2" t="s">
        <v>359</v>
      </c>
      <c r="B47" s="2">
        <v>103</v>
      </c>
      <c r="C47" s="2">
        <v>110</v>
      </c>
      <c r="D47" s="2">
        <v>120</v>
      </c>
      <c r="E47" s="2">
        <v>79.2</v>
      </c>
      <c r="F47" s="2">
        <v>128.19999999999999</v>
      </c>
      <c r="G47" s="2">
        <v>130.4</v>
      </c>
      <c r="H47" s="2">
        <v>227.6</v>
      </c>
      <c r="I47" s="2">
        <v>253.1</v>
      </c>
      <c r="J47" s="2">
        <v>268.8</v>
      </c>
      <c r="K47" s="2">
        <v>204.8</v>
      </c>
      <c r="L47" s="2">
        <v>282.5</v>
      </c>
      <c r="M47" s="2">
        <v>240.2</v>
      </c>
      <c r="N47" s="2">
        <v>0</v>
      </c>
      <c r="O47" s="2">
        <v>0</v>
      </c>
      <c r="P47" s="2">
        <v>0</v>
      </c>
      <c r="Q47" s="2">
        <v>0</v>
      </c>
      <c r="R47" s="2">
        <v>0</v>
      </c>
      <c r="S47" s="2">
        <v>0</v>
      </c>
      <c r="T47" s="2">
        <v>0</v>
      </c>
      <c r="U47" s="2">
        <v>0</v>
      </c>
      <c r="V47" s="2">
        <v>0</v>
      </c>
      <c r="W47" s="2">
        <v>0</v>
      </c>
      <c r="X47" s="2">
        <v>0</v>
      </c>
      <c r="Y47" s="2"/>
      <c r="Z47" s="2"/>
      <c r="AA47" s="2">
        <v>0</v>
      </c>
      <c r="AB47" s="2">
        <v>0</v>
      </c>
      <c r="AC47" s="2">
        <v>0</v>
      </c>
      <c r="AD47" s="2">
        <v>0</v>
      </c>
      <c r="AE47" s="2">
        <v>0</v>
      </c>
      <c r="AF47" s="2">
        <v>0</v>
      </c>
    </row>
    <row r="48" spans="1:32">
      <c r="A48" s="4" t="s">
        <v>360</v>
      </c>
      <c r="B48" s="4">
        <v>602</v>
      </c>
      <c r="C48" s="4">
        <v>750</v>
      </c>
      <c r="D48" s="6">
        <v>1115</v>
      </c>
      <c r="E48" s="4">
        <v>-580.9</v>
      </c>
      <c r="F48" s="4">
        <v>-642</v>
      </c>
      <c r="G48" s="6">
        <v>-3827.8</v>
      </c>
      <c r="H48" s="6">
        <v>6281</v>
      </c>
      <c r="I48" s="4">
        <v>-270</v>
      </c>
      <c r="J48" s="4">
        <v>47.1</v>
      </c>
      <c r="K48" s="4">
        <v>729.9</v>
      </c>
      <c r="L48" s="4">
        <v>-81.8</v>
      </c>
      <c r="M48" s="6">
        <v>4526</v>
      </c>
      <c r="N48" s="4">
        <v>-180.4</v>
      </c>
      <c r="O48" s="4">
        <v>-137.5</v>
      </c>
      <c r="P48" s="4">
        <v>352.3</v>
      </c>
      <c r="Q48" s="4">
        <v>177.6</v>
      </c>
      <c r="R48" s="4">
        <v>-3.6</v>
      </c>
      <c r="S48" s="4">
        <v>492.7</v>
      </c>
      <c r="T48" s="4">
        <v>195.4</v>
      </c>
      <c r="U48" s="4">
        <v>17.5</v>
      </c>
      <c r="V48" s="4">
        <v>323.60000000000002</v>
      </c>
      <c r="W48" s="4">
        <v>-42.6</v>
      </c>
      <c r="X48" s="4">
        <v>107.2</v>
      </c>
      <c r="Y48" s="4">
        <v>73.099999999999994</v>
      </c>
      <c r="Z48" s="4">
        <v>240.5</v>
      </c>
      <c r="AA48" s="4">
        <v>-113.5</v>
      </c>
      <c r="AB48" s="4">
        <v>39.9</v>
      </c>
      <c r="AC48" s="4">
        <v>7.3</v>
      </c>
      <c r="AD48" s="4">
        <v>310.8</v>
      </c>
      <c r="AE48" s="4">
        <v>101.9</v>
      </c>
      <c r="AF48" s="4">
        <v>142.69999999999999</v>
      </c>
    </row>
    <row r="49" spans="1:32">
      <c r="A49" s="2" t="s">
        <v>361</v>
      </c>
      <c r="B49" s="2">
        <v>637</v>
      </c>
      <c r="C49" s="2">
        <v>45</v>
      </c>
      <c r="D49" s="2">
        <v>200</v>
      </c>
      <c r="E49" s="2">
        <v>0</v>
      </c>
      <c r="F49" s="2">
        <v>0</v>
      </c>
      <c r="G49" s="7">
        <v>-826.2</v>
      </c>
      <c r="H49" s="2">
        <v>616.70000000000005</v>
      </c>
      <c r="I49" s="2">
        <v>132.1</v>
      </c>
      <c r="J49" s="7">
        <v>-119.7</v>
      </c>
      <c r="K49" s="2">
        <v>119.7</v>
      </c>
      <c r="L49" s="2">
        <v>0</v>
      </c>
      <c r="M49" s="7">
        <v>-130</v>
      </c>
      <c r="N49" s="2">
        <v>34.5</v>
      </c>
      <c r="O49" s="2">
        <v>95.5</v>
      </c>
      <c r="P49" s="7">
        <v>-182</v>
      </c>
      <c r="Q49" s="2">
        <v>182</v>
      </c>
      <c r="R49" s="2">
        <v>0</v>
      </c>
      <c r="S49" s="2">
        <v>0</v>
      </c>
      <c r="T49" s="7">
        <v>-550.70000000000005</v>
      </c>
      <c r="U49" s="2">
        <v>121.9</v>
      </c>
      <c r="V49" s="2">
        <v>240</v>
      </c>
      <c r="W49" s="7">
        <v>-9.8000000000000007</v>
      </c>
      <c r="X49" s="2">
        <v>0</v>
      </c>
      <c r="Y49" s="2">
        <v>0</v>
      </c>
      <c r="Z49" s="2">
        <v>0</v>
      </c>
      <c r="AA49" s="2">
        <v>0</v>
      </c>
      <c r="AB49" s="2">
        <v>0</v>
      </c>
      <c r="AC49" s="2">
        <v>0</v>
      </c>
      <c r="AD49" s="2">
        <v>0</v>
      </c>
      <c r="AE49" s="2">
        <v>0</v>
      </c>
      <c r="AF49" s="2">
        <v>0</v>
      </c>
    </row>
    <row r="50" spans="1:32">
      <c r="A50" s="4" t="s">
        <v>362</v>
      </c>
      <c r="B50" s="4">
        <v>-35</v>
      </c>
      <c r="C50" s="4">
        <v>705</v>
      </c>
      <c r="D50" s="4">
        <v>915</v>
      </c>
      <c r="E50" s="4">
        <v>-580.9</v>
      </c>
      <c r="F50" s="4">
        <v>-642</v>
      </c>
      <c r="G50" s="6">
        <v>-3001.6</v>
      </c>
      <c r="H50" s="6">
        <v>5664.3</v>
      </c>
      <c r="I50" s="4">
        <v>-402.1</v>
      </c>
      <c r="J50" s="4">
        <v>166.8</v>
      </c>
      <c r="K50" s="4">
        <v>610.20000000000005</v>
      </c>
      <c r="L50" s="4">
        <v>-81.8</v>
      </c>
      <c r="M50" s="6">
        <v>4656</v>
      </c>
      <c r="N50" s="4">
        <v>-214.9</v>
      </c>
      <c r="O50" s="4">
        <v>-233</v>
      </c>
      <c r="P50" s="4">
        <v>534.29999999999995</v>
      </c>
      <c r="Q50" s="4">
        <v>-4.3</v>
      </c>
      <c r="R50" s="4">
        <v>-3.6</v>
      </c>
      <c r="S50" s="4">
        <v>492.7</v>
      </c>
      <c r="T50" s="4">
        <v>746.2</v>
      </c>
      <c r="U50" s="4">
        <v>-104.4</v>
      </c>
      <c r="V50" s="4">
        <v>83.6</v>
      </c>
      <c r="W50" s="4">
        <v>-32.799999999999997</v>
      </c>
      <c r="X50" s="4">
        <v>107.2</v>
      </c>
      <c r="Y50" s="4">
        <v>73.099999999999994</v>
      </c>
      <c r="Z50" s="4">
        <v>240.5</v>
      </c>
      <c r="AA50" s="4">
        <v>-113.5</v>
      </c>
      <c r="AB50" s="4">
        <v>39.9</v>
      </c>
      <c r="AC50" s="4">
        <v>7.3</v>
      </c>
      <c r="AD50" s="4">
        <v>310.8</v>
      </c>
      <c r="AE50" s="4">
        <v>101.9</v>
      </c>
      <c r="AF50" s="4">
        <v>142.69999999999999</v>
      </c>
    </row>
    <row r="51" spans="1:32">
      <c r="A51" s="2" t="s">
        <v>363</v>
      </c>
      <c r="B51" s="5">
        <v>1253</v>
      </c>
      <c r="C51" s="5">
        <v>1254</v>
      </c>
      <c r="D51" s="5">
        <v>1362</v>
      </c>
      <c r="E51" s="2">
        <v>249</v>
      </c>
      <c r="F51" s="5">
        <v>1248.2</v>
      </c>
      <c r="G51" s="2">
        <v>1.5</v>
      </c>
      <c r="H51" s="5">
        <v>6783.6</v>
      </c>
      <c r="I51" s="2">
        <v>388.2</v>
      </c>
      <c r="J51" s="5">
        <v>1000.6</v>
      </c>
      <c r="K51" s="2">
        <v>753.8</v>
      </c>
      <c r="L51" s="5">
        <v>5095</v>
      </c>
      <c r="M51" s="5">
        <v>5010.1000000000004</v>
      </c>
      <c r="N51" s="2">
        <v>14.7</v>
      </c>
      <c r="O51" s="2">
        <v>61.5</v>
      </c>
      <c r="P51" s="2">
        <v>740</v>
      </c>
      <c r="Q51" s="2">
        <v>4.4000000000000004</v>
      </c>
      <c r="R51" s="2">
        <v>7.1</v>
      </c>
      <c r="S51" s="2">
        <v>502.9</v>
      </c>
      <c r="T51" s="2">
        <v>753.8</v>
      </c>
      <c r="U51" s="2">
        <v>5.3</v>
      </c>
      <c r="V51" s="2">
        <v>497</v>
      </c>
      <c r="W51" s="2">
        <v>0</v>
      </c>
      <c r="X51" s="2">
        <v>185.1</v>
      </c>
      <c r="Y51" s="2">
        <v>85.2</v>
      </c>
      <c r="Z51" s="2">
        <v>384.1</v>
      </c>
      <c r="AA51" s="2">
        <v>0</v>
      </c>
      <c r="AB51" s="2">
        <v>51.8</v>
      </c>
      <c r="AC51" s="2">
        <v>117.3</v>
      </c>
      <c r="AD51" s="2">
        <v>310.8</v>
      </c>
      <c r="AE51" s="2">
        <v>101.9</v>
      </c>
      <c r="AF51" s="2">
        <v>146.80000000000001</v>
      </c>
    </row>
    <row r="52" spans="1:32">
      <c r="A52" s="2" t="s">
        <v>364</v>
      </c>
      <c r="B52" s="8">
        <v>-1288</v>
      </c>
      <c r="C52" s="7">
        <v>-549</v>
      </c>
      <c r="D52" s="7">
        <v>-447</v>
      </c>
      <c r="E52" s="7">
        <v>-829.8</v>
      </c>
      <c r="F52" s="8">
        <v>-1890.3</v>
      </c>
      <c r="G52" s="8">
        <v>-3003.1</v>
      </c>
      <c r="H52" s="8">
        <v>-1119.2</v>
      </c>
      <c r="I52" s="7">
        <v>-790.3</v>
      </c>
      <c r="J52" s="7">
        <v>-833.8</v>
      </c>
      <c r="K52" s="7">
        <v>-143.69999999999999</v>
      </c>
      <c r="L52" s="8">
        <v>-5176.8</v>
      </c>
      <c r="M52" s="7">
        <v>-354</v>
      </c>
      <c r="N52" s="7">
        <v>-229.5</v>
      </c>
      <c r="O52" s="7">
        <v>-294.5</v>
      </c>
      <c r="P52" s="7">
        <v>-205.6</v>
      </c>
      <c r="Q52" s="7">
        <v>-8.6999999999999993</v>
      </c>
      <c r="R52" s="7">
        <v>-10.7</v>
      </c>
      <c r="S52" s="7">
        <v>-10.199999999999999</v>
      </c>
      <c r="T52" s="7">
        <v>-7.6</v>
      </c>
      <c r="U52" s="7">
        <v>-109.7</v>
      </c>
      <c r="V52" s="7">
        <v>-413.4</v>
      </c>
      <c r="W52" s="7">
        <v>-32.799999999999997</v>
      </c>
      <c r="X52" s="7">
        <v>-77.8</v>
      </c>
      <c r="Y52" s="7">
        <v>-12.1</v>
      </c>
      <c r="Z52" s="7">
        <v>-143.6</v>
      </c>
      <c r="AA52" s="7">
        <v>-113.5</v>
      </c>
      <c r="AB52" s="7">
        <v>-11.9</v>
      </c>
      <c r="AC52" s="7">
        <v>-110</v>
      </c>
      <c r="AD52" s="2">
        <v>0</v>
      </c>
      <c r="AE52" s="2">
        <v>0</v>
      </c>
      <c r="AF52" s="7">
        <v>-4.0999999999999996</v>
      </c>
    </row>
    <row r="53" spans="1:32">
      <c r="A53" s="4" t="s">
        <v>337</v>
      </c>
      <c r="B53" s="4">
        <v>-49</v>
      </c>
      <c r="C53" s="4">
        <v>-22</v>
      </c>
      <c r="D53" s="4">
        <v>-33</v>
      </c>
      <c r="E53" s="4">
        <v>-58.2</v>
      </c>
      <c r="F53" s="4">
        <v>-14.3</v>
      </c>
      <c r="G53" s="4">
        <v>-13.2</v>
      </c>
      <c r="H53" s="4">
        <v>-87.8</v>
      </c>
      <c r="I53" s="4">
        <v>-23</v>
      </c>
      <c r="J53" s="4">
        <v>-25.3</v>
      </c>
      <c r="K53" s="4">
        <v>-32.5</v>
      </c>
      <c r="L53" s="4">
        <v>42.9</v>
      </c>
      <c r="M53" s="4">
        <v>-173.4</v>
      </c>
      <c r="N53" s="4">
        <v>8.5</v>
      </c>
      <c r="O53" s="4">
        <v>4.5999999999999996</v>
      </c>
      <c r="P53" s="4">
        <v>0.7</v>
      </c>
      <c r="Q53" s="4">
        <v>0.4</v>
      </c>
      <c r="R53" s="4">
        <v>0.8</v>
      </c>
      <c r="S53" s="4">
        <v>2.9</v>
      </c>
      <c r="T53" s="4">
        <v>4.4000000000000004</v>
      </c>
      <c r="U53" s="4">
        <v>8.8000000000000007</v>
      </c>
      <c r="V53" s="4">
        <v>-14.6</v>
      </c>
      <c r="W53" s="4">
        <v>5.3</v>
      </c>
      <c r="X53" s="4">
        <v>1.3</v>
      </c>
      <c r="Y53" s="4">
        <v>15.4</v>
      </c>
      <c r="Z53" s="4">
        <v>0</v>
      </c>
      <c r="AA53" s="4">
        <v>0</v>
      </c>
      <c r="AB53" s="4">
        <v>0</v>
      </c>
      <c r="AC53" s="4">
        <v>0</v>
      </c>
      <c r="AD53" s="4">
        <v>0</v>
      </c>
      <c r="AE53" s="4">
        <v>0</v>
      </c>
      <c r="AF53" s="4">
        <v>0</v>
      </c>
    </row>
    <row r="54" spans="1:32">
      <c r="A54" s="2" t="s">
        <v>365</v>
      </c>
      <c r="B54" s="7">
        <v>-49</v>
      </c>
      <c r="C54" s="7">
        <v>-22</v>
      </c>
      <c r="D54" s="7">
        <v>-33</v>
      </c>
      <c r="E54" s="7">
        <v>-58.2</v>
      </c>
      <c r="F54" s="7">
        <v>-37.4</v>
      </c>
      <c r="G54" s="7">
        <v>-13.2</v>
      </c>
      <c r="H54" s="7">
        <v>-87.8</v>
      </c>
      <c r="I54" s="7">
        <v>-23</v>
      </c>
      <c r="J54" s="7">
        <v>-25.3</v>
      </c>
      <c r="K54" s="7">
        <v>-32.5</v>
      </c>
      <c r="L54" s="7">
        <v>-6.1</v>
      </c>
      <c r="M54" s="7">
        <v>-188.8</v>
      </c>
      <c r="N54" s="2">
        <v>0</v>
      </c>
      <c r="O54" s="2">
        <v>0</v>
      </c>
      <c r="P54" s="2">
        <v>0</v>
      </c>
      <c r="Q54" s="2">
        <v>0</v>
      </c>
      <c r="R54" s="2">
        <v>0</v>
      </c>
      <c r="S54" s="2">
        <v>0</v>
      </c>
      <c r="T54" s="2">
        <v>0</v>
      </c>
      <c r="U54" s="2">
        <v>0</v>
      </c>
      <c r="V54" s="7">
        <v>-21.2</v>
      </c>
      <c r="W54" s="2">
        <v>0</v>
      </c>
      <c r="X54" s="2">
        <v>0</v>
      </c>
      <c r="Y54" s="2">
        <v>0</v>
      </c>
      <c r="Z54" s="2">
        <v>0</v>
      </c>
      <c r="AA54" s="2">
        <v>0</v>
      </c>
      <c r="AB54" s="2">
        <v>0</v>
      </c>
      <c r="AC54" s="2">
        <v>0</v>
      </c>
      <c r="AD54" s="2">
        <v>0</v>
      </c>
      <c r="AE54" s="2">
        <v>0</v>
      </c>
      <c r="AF54" s="2">
        <v>0</v>
      </c>
    </row>
    <row r="55" spans="1:32">
      <c r="A55" s="2" t="s">
        <v>353</v>
      </c>
      <c r="B55" s="2">
        <v>0</v>
      </c>
      <c r="C55" s="2">
        <v>0</v>
      </c>
      <c r="D55" s="2">
        <v>0</v>
      </c>
      <c r="E55" s="2">
        <v>0</v>
      </c>
      <c r="F55" s="2">
        <v>23.1</v>
      </c>
      <c r="G55" s="2">
        <v>0</v>
      </c>
      <c r="H55" s="2">
        <v>0</v>
      </c>
      <c r="I55" s="2">
        <v>0</v>
      </c>
      <c r="J55" s="2">
        <v>0</v>
      </c>
      <c r="K55" s="2">
        <v>0</v>
      </c>
      <c r="L55" s="2">
        <v>49</v>
      </c>
      <c r="M55" s="2">
        <v>15.5</v>
      </c>
      <c r="N55" s="2">
        <v>8.5</v>
      </c>
      <c r="O55" s="2">
        <v>4.5999999999999996</v>
      </c>
      <c r="P55" s="2">
        <v>0.7</v>
      </c>
      <c r="Q55" s="2">
        <v>0.4</v>
      </c>
      <c r="R55" s="2">
        <v>0.8</v>
      </c>
      <c r="S55" s="2">
        <v>2.9</v>
      </c>
      <c r="T55" s="2">
        <v>4.4000000000000004</v>
      </c>
      <c r="U55" s="2">
        <v>8.8000000000000007</v>
      </c>
      <c r="V55" s="2">
        <v>6.6</v>
      </c>
      <c r="W55" s="2">
        <v>5.3</v>
      </c>
      <c r="X55" s="2">
        <v>1.3</v>
      </c>
      <c r="Y55" s="2">
        <v>15.4</v>
      </c>
      <c r="Z55" s="2">
        <v>0</v>
      </c>
      <c r="AA55" s="2">
        <v>0</v>
      </c>
      <c r="AB55" s="2">
        <v>0</v>
      </c>
      <c r="AC55" s="2">
        <v>0</v>
      </c>
      <c r="AD55" s="2">
        <v>0</v>
      </c>
      <c r="AE55" s="2">
        <v>0</v>
      </c>
      <c r="AF55" s="2">
        <v>0</v>
      </c>
    </row>
    <row r="56" spans="1:32">
      <c r="A56" s="2" t="s">
        <v>366</v>
      </c>
      <c r="B56" s="8">
        <v>-1309</v>
      </c>
      <c r="C56" s="8">
        <v>-1412</v>
      </c>
      <c r="D56" s="8">
        <v>-1038</v>
      </c>
      <c r="E56" s="8">
        <v>-2056</v>
      </c>
      <c r="F56" s="8">
        <v>-1986.9</v>
      </c>
      <c r="G56" s="8">
        <v>-4628.2</v>
      </c>
      <c r="H56" s="5">
        <v>4719.8</v>
      </c>
      <c r="I56" s="8">
        <v>-1837.3</v>
      </c>
      <c r="J56" s="8">
        <v>-1410.5</v>
      </c>
      <c r="K56" s="8">
        <v>-1682.6</v>
      </c>
      <c r="L56" s="8">
        <v>-2404.6999999999998</v>
      </c>
      <c r="M56" s="5">
        <v>3897.6</v>
      </c>
      <c r="N56" s="7">
        <v>-915.9</v>
      </c>
      <c r="O56" s="7">
        <v>-874.2</v>
      </c>
      <c r="P56" s="7">
        <v>-442.6</v>
      </c>
      <c r="Q56" s="7">
        <v>-377.9</v>
      </c>
      <c r="R56" s="7">
        <v>-667</v>
      </c>
      <c r="S56" s="7">
        <v>-379.6</v>
      </c>
      <c r="T56" s="7">
        <v>-698.6</v>
      </c>
      <c r="U56" s="7">
        <v>-748.3</v>
      </c>
      <c r="V56" s="7">
        <v>-504.6</v>
      </c>
      <c r="W56" s="7">
        <v>-784.3</v>
      </c>
      <c r="X56" s="7">
        <v>-641.9</v>
      </c>
      <c r="Y56" s="7">
        <v>-550.5</v>
      </c>
      <c r="Z56" s="7">
        <v>-360</v>
      </c>
      <c r="AA56" s="7">
        <v>-639.9</v>
      </c>
      <c r="AB56" s="7">
        <v>-239.5</v>
      </c>
      <c r="AC56" s="7">
        <v>-284.60000000000002</v>
      </c>
      <c r="AD56" s="7">
        <v>-29.6</v>
      </c>
      <c r="AE56" s="7">
        <v>-274.8</v>
      </c>
      <c r="AF56" s="7">
        <v>-151.69999999999999</v>
      </c>
    </row>
    <row r="57" spans="1:32">
      <c r="A57" s="4" t="s">
        <v>367</v>
      </c>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spans="1:32">
      <c r="A58" s="2" t="s">
        <v>368</v>
      </c>
      <c r="B58" s="2">
        <v>42</v>
      </c>
      <c r="C58" s="2">
        <v>22</v>
      </c>
      <c r="D58" s="7">
        <v>-10</v>
      </c>
      <c r="E58" s="2">
        <v>7.6</v>
      </c>
      <c r="F58" s="7">
        <v>-31.9</v>
      </c>
      <c r="G58" s="2">
        <v>94.6</v>
      </c>
      <c r="H58" s="7">
        <v>-18.8</v>
      </c>
      <c r="I58" s="7">
        <v>-14.7</v>
      </c>
      <c r="J58" s="2">
        <v>11.8</v>
      </c>
      <c r="K58" s="7">
        <v>-22.1</v>
      </c>
      <c r="L58" s="7">
        <v>-138.30000000000001</v>
      </c>
      <c r="M58" s="7">
        <v>-81.7</v>
      </c>
      <c r="N58" s="2">
        <v>0.6</v>
      </c>
      <c r="O58" s="7">
        <v>-2.1</v>
      </c>
      <c r="P58" s="7">
        <v>-8.8000000000000007</v>
      </c>
      <c r="Q58" s="2">
        <v>20.3</v>
      </c>
      <c r="R58" s="2">
        <v>4.7</v>
      </c>
      <c r="S58" s="7">
        <v>-8.5</v>
      </c>
      <c r="T58" s="2">
        <v>1.7</v>
      </c>
      <c r="U58" s="2">
        <v>0</v>
      </c>
      <c r="V58" s="7">
        <v>-0.3</v>
      </c>
      <c r="W58" s="7">
        <v>-2.2000000000000002</v>
      </c>
      <c r="X58" s="7">
        <v>-1.6</v>
      </c>
      <c r="Y58" s="7">
        <v>-1.5</v>
      </c>
      <c r="Z58" s="2"/>
      <c r="AA58" s="2"/>
      <c r="AB58" s="2"/>
      <c r="AC58" s="2"/>
      <c r="AD58" s="2"/>
      <c r="AE58" s="2"/>
      <c r="AF58" s="2"/>
    </row>
    <row r="59" spans="1:32">
      <c r="A59" s="2" t="s">
        <v>369</v>
      </c>
      <c r="B59" s="2">
        <v>543</v>
      </c>
      <c r="C59" s="2">
        <v>403</v>
      </c>
      <c r="D59" s="7">
        <v>-21</v>
      </c>
      <c r="E59" s="2">
        <v>34.700000000000003</v>
      </c>
      <c r="F59" s="8">
        <v>-2105.6999999999998</v>
      </c>
      <c r="G59" s="8">
        <v>-3058.5</v>
      </c>
      <c r="H59" s="5">
        <v>5563.3</v>
      </c>
      <c r="I59" s="7">
        <v>-183.6</v>
      </c>
      <c r="J59" s="7">
        <v>-153.69999999999999</v>
      </c>
      <c r="K59" s="8">
        <v>-3049.8</v>
      </c>
      <c r="L59" s="8">
        <v>-1210.7</v>
      </c>
      <c r="M59" s="5">
        <v>4717</v>
      </c>
      <c r="N59" s="2">
        <v>0.8</v>
      </c>
      <c r="O59" s="7">
        <v>-276.60000000000002</v>
      </c>
      <c r="P59" s="2">
        <v>49.1</v>
      </c>
      <c r="Q59" s="2">
        <v>54.3</v>
      </c>
      <c r="R59" s="7">
        <v>-433.2</v>
      </c>
      <c r="S59" s="2">
        <v>535.5</v>
      </c>
      <c r="T59" s="2">
        <v>343.7</v>
      </c>
      <c r="U59" s="2">
        <v>6</v>
      </c>
      <c r="V59" s="2">
        <v>10.199999999999999</v>
      </c>
      <c r="W59" s="7">
        <v>-8</v>
      </c>
      <c r="X59" s="7">
        <v>-137.69999999999999</v>
      </c>
      <c r="Y59" s="2">
        <v>139</v>
      </c>
      <c r="Z59" s="2">
        <v>94.7</v>
      </c>
      <c r="AA59" s="7">
        <v>-23.4</v>
      </c>
      <c r="AB59" s="2">
        <v>9.8000000000000007</v>
      </c>
      <c r="AC59" s="2">
        <v>39</v>
      </c>
      <c r="AD59" s="7">
        <v>-7.4</v>
      </c>
      <c r="AE59" s="2">
        <v>9.9</v>
      </c>
      <c r="AF59" s="7">
        <v>-26.1</v>
      </c>
    </row>
    <row r="60" spans="1:32">
      <c r="A60" s="88" t="s">
        <v>370</v>
      </c>
      <c r="B60" s="6">
        <v>1750</v>
      </c>
      <c r="C60" s="6">
        <v>1604</v>
      </c>
      <c r="D60" s="6">
        <v>2157</v>
      </c>
      <c r="E60" s="6">
        <v>2074.3000000000002</v>
      </c>
      <c r="F60" s="6">
        <v>1158.5</v>
      </c>
      <c r="G60" s="6">
        <v>1433.2</v>
      </c>
      <c r="H60" s="4">
        <v>898.3</v>
      </c>
      <c r="I60" s="6">
        <v>1718.8</v>
      </c>
      <c r="J60" s="6">
        <v>1467.6</v>
      </c>
      <c r="K60" s="6">
        <v>1553</v>
      </c>
      <c r="L60" s="6">
        <v>1405.8</v>
      </c>
      <c r="M60" s="6">
        <v>1012.7</v>
      </c>
      <c r="N60" s="4">
        <v>969.6</v>
      </c>
      <c r="O60" s="4">
        <v>999.7</v>
      </c>
      <c r="P60" s="4">
        <v>619.70000000000005</v>
      </c>
      <c r="Q60" s="4">
        <v>455.1</v>
      </c>
      <c r="R60" s="4">
        <v>290.8</v>
      </c>
      <c r="S60" s="6">
        <v>1117.8</v>
      </c>
      <c r="T60" s="6">
        <v>1080.2</v>
      </c>
      <c r="U60" s="4">
        <v>799.7</v>
      </c>
      <c r="V60" s="4">
        <v>609.1</v>
      </c>
      <c r="W60" s="4">
        <v>801.6</v>
      </c>
      <c r="X60" s="4">
        <v>659.4</v>
      </c>
      <c r="Y60" s="4">
        <v>937.2</v>
      </c>
      <c r="Z60" s="4">
        <v>668.6</v>
      </c>
      <c r="AA60" s="4">
        <v>614.1</v>
      </c>
      <c r="AB60" s="4">
        <v>442.3</v>
      </c>
      <c r="AC60" s="4">
        <v>298.60000000000002</v>
      </c>
      <c r="AD60" s="4">
        <v>98.4</v>
      </c>
      <c r="AE60" s="4">
        <v>287.2</v>
      </c>
      <c r="AF60" s="4">
        <v>114.5</v>
      </c>
    </row>
    <row r="61" spans="1:32">
      <c r="A61" s="2" t="s">
        <v>371</v>
      </c>
      <c r="B61" s="2">
        <v>3.6</v>
      </c>
      <c r="C61" s="2">
        <v>3.3</v>
      </c>
      <c r="D61" s="2">
        <v>4.3</v>
      </c>
      <c r="E61" s="2">
        <v>4.0999999999999996</v>
      </c>
      <c r="F61" s="2">
        <v>2.2999999999999998</v>
      </c>
      <c r="G61" s="2">
        <v>2.8</v>
      </c>
      <c r="H61" s="2">
        <v>1.7</v>
      </c>
      <c r="I61" s="2">
        <v>3.3</v>
      </c>
      <c r="J61" s="2">
        <v>2.8</v>
      </c>
      <c r="K61" s="2">
        <v>2.8</v>
      </c>
      <c r="L61" s="2">
        <v>2.4</v>
      </c>
      <c r="M61" s="2">
        <v>1.7</v>
      </c>
      <c r="N61" s="2">
        <v>1.6</v>
      </c>
      <c r="O61" s="2">
        <v>1.7</v>
      </c>
      <c r="P61" s="2">
        <v>1.1000000000000001</v>
      </c>
      <c r="Q61" s="2">
        <v>0.8</v>
      </c>
      <c r="R61" s="2">
        <v>0.5</v>
      </c>
      <c r="S61" s="2">
        <v>1.9</v>
      </c>
      <c r="T61" s="2">
        <v>1.8</v>
      </c>
      <c r="U61" s="2">
        <v>1.3</v>
      </c>
      <c r="V61" s="2">
        <v>1</v>
      </c>
      <c r="W61" s="2">
        <v>1.2</v>
      </c>
      <c r="X61" s="2">
        <v>1</v>
      </c>
      <c r="Y61" s="2">
        <v>1.4</v>
      </c>
      <c r="Z61" s="2">
        <v>1</v>
      </c>
      <c r="AA61" s="2">
        <v>0.9</v>
      </c>
      <c r="AB61" s="2">
        <v>0.7</v>
      </c>
      <c r="AC61" s="2">
        <v>0.4</v>
      </c>
      <c r="AD61" s="2">
        <v>0.1</v>
      </c>
      <c r="AE61" s="2">
        <v>0.4</v>
      </c>
      <c r="AF61" s="2">
        <v>0.2</v>
      </c>
    </row>
    <row r="62" spans="1:32">
      <c r="A62" s="2" t="s">
        <v>372</v>
      </c>
      <c r="B62" s="2">
        <v>4.9000000000000004</v>
      </c>
      <c r="C62" s="2">
        <v>4.37</v>
      </c>
      <c r="D62" s="2">
        <v>6.01</v>
      </c>
      <c r="E62" s="2">
        <v>5.48</v>
      </c>
      <c r="F62" s="2">
        <v>2.61</v>
      </c>
      <c r="G62" s="2">
        <v>3.64</v>
      </c>
      <c r="H62" s="2">
        <v>3.34</v>
      </c>
      <c r="I62" s="2">
        <v>4.6399999999999997</v>
      </c>
      <c r="J62" s="2">
        <v>4.0599999999999996</v>
      </c>
      <c r="K62" s="2">
        <v>5.63</v>
      </c>
      <c r="L62" s="2">
        <v>4.8</v>
      </c>
      <c r="M62" s="2">
        <v>4.42</v>
      </c>
      <c r="N62" s="2">
        <v>4.34</v>
      </c>
      <c r="O62" s="2">
        <v>4.9400000000000004</v>
      </c>
      <c r="P62" s="2">
        <v>3.53</v>
      </c>
      <c r="Q62" s="2">
        <v>2.46</v>
      </c>
      <c r="R62" s="2">
        <v>1.73</v>
      </c>
      <c r="S62" s="2">
        <v>8.16</v>
      </c>
      <c r="T62" s="2">
        <v>6.26</v>
      </c>
      <c r="U62" s="2">
        <v>3.87</v>
      </c>
      <c r="V62" s="2">
        <v>3.17</v>
      </c>
      <c r="W62" s="2">
        <v>3.39</v>
      </c>
      <c r="X62" s="2">
        <v>2.86</v>
      </c>
      <c r="Y62" s="2">
        <v>4.79</v>
      </c>
      <c r="Z62" s="2">
        <v>3.65</v>
      </c>
      <c r="AA62" s="2">
        <v>3.34</v>
      </c>
      <c r="AB62" s="2">
        <v>3.14</v>
      </c>
      <c r="AC62" s="2">
        <v>2.88</v>
      </c>
      <c r="AD62" s="2">
        <v>1.1200000000000001</v>
      </c>
      <c r="AE62" s="2">
        <v>4.38</v>
      </c>
      <c r="AF62" s="2">
        <v>1.83</v>
      </c>
    </row>
    <row r="63" spans="1:32">
      <c r="A63" s="9" t="s">
        <v>278</v>
      </c>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2D203-140D-B44B-A2FA-2A4250E4A32D}">
  <dimension ref="A1:AF60"/>
  <sheetViews>
    <sheetView zoomScale="88" workbookViewId="0">
      <selection activeCell="B38" sqref="B38"/>
    </sheetView>
  </sheetViews>
  <sheetFormatPr baseColWidth="10" defaultColWidth="9.1640625" defaultRowHeight="16" outlineLevelRow="3"/>
  <cols>
    <col min="1" max="1" width="48.6640625" customWidth="1"/>
    <col min="2" max="2" width="8" customWidth="1"/>
    <col min="3" max="9" width="7.83203125" customWidth="1"/>
    <col min="10" max="11" width="8" customWidth="1"/>
    <col min="12" max="32" width="7.83203125" customWidth="1"/>
  </cols>
  <sheetData>
    <row r="1" spans="1:32" ht="15" customHeight="1">
      <c r="A1" s="1" t="s">
        <v>236</v>
      </c>
    </row>
    <row r="2" spans="1:32" ht="15" customHeight="1">
      <c r="A2" s="10" t="s">
        <v>379</v>
      </c>
    </row>
    <row r="3" spans="1:32" ht="15" customHeigh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row>
    <row r="4" spans="1:32" ht="15" customHeight="1"/>
    <row r="5" spans="1:32" ht="15" customHeight="1">
      <c r="A5" s="12" t="s">
        <v>238</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row>
    <row r="6" spans="1:32" ht="15" customHeight="1">
      <c r="A6" s="12" t="s">
        <v>239</v>
      </c>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row>
    <row r="7" spans="1:32" ht="15" customHeight="1">
      <c r="A7" s="12" t="s">
        <v>240</v>
      </c>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row>
    <row r="8" spans="1:32" ht="15" customHeight="1">
      <c r="A8" s="12"/>
      <c r="B8" s="12" t="s">
        <v>0</v>
      </c>
      <c r="C8" s="12" t="s">
        <v>1</v>
      </c>
      <c r="D8" s="12" t="s">
        <v>2</v>
      </c>
      <c r="E8" s="12" t="s">
        <v>3</v>
      </c>
      <c r="F8" s="12" t="s">
        <v>4</v>
      </c>
      <c r="G8" s="12" t="s">
        <v>5</v>
      </c>
      <c r="H8" s="12" t="s">
        <v>6</v>
      </c>
      <c r="I8" s="12" t="s">
        <v>7</v>
      </c>
      <c r="J8" s="12" t="s">
        <v>8</v>
      </c>
      <c r="K8" s="12" t="s">
        <v>9</v>
      </c>
      <c r="L8" s="12" t="s">
        <v>10</v>
      </c>
      <c r="M8" s="12" t="s">
        <v>11</v>
      </c>
      <c r="N8" s="12" t="s">
        <v>12</v>
      </c>
      <c r="O8" s="12" t="s">
        <v>13</v>
      </c>
      <c r="P8" s="12" t="s">
        <v>14</v>
      </c>
      <c r="Q8" s="12" t="s">
        <v>15</v>
      </c>
      <c r="R8" s="12" t="s">
        <v>16</v>
      </c>
      <c r="S8" s="12" t="s">
        <v>17</v>
      </c>
      <c r="T8" s="12" t="s">
        <v>18</v>
      </c>
      <c r="U8" s="12" t="s">
        <v>19</v>
      </c>
      <c r="V8" s="12" t="s">
        <v>20</v>
      </c>
      <c r="W8" s="12" t="s">
        <v>21</v>
      </c>
      <c r="X8" s="12" t="s">
        <v>22</v>
      </c>
      <c r="Y8" s="12" t="s">
        <v>23</v>
      </c>
      <c r="Z8" s="12" t="s">
        <v>24</v>
      </c>
      <c r="AA8" s="12" t="s">
        <v>25</v>
      </c>
      <c r="AB8" s="12" t="s">
        <v>26</v>
      </c>
      <c r="AC8" s="12" t="s">
        <v>27</v>
      </c>
      <c r="AD8" s="12" t="s">
        <v>28</v>
      </c>
      <c r="AE8" s="12" t="s">
        <v>29</v>
      </c>
      <c r="AF8" s="12" t="s">
        <v>30</v>
      </c>
    </row>
    <row r="9" spans="1:32" ht="15" customHeight="1">
      <c r="A9" s="12"/>
      <c r="B9" s="12" t="s">
        <v>374</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row>
    <row r="10" spans="1:32" ht="15" customHeight="1">
      <c r="A10" s="12"/>
      <c r="B10" s="12"/>
      <c r="C10" s="12"/>
      <c r="D10" s="12"/>
      <c r="E10" s="12"/>
      <c r="F10" s="12"/>
      <c r="G10" s="12"/>
      <c r="H10" s="12"/>
      <c r="I10" s="12"/>
      <c r="J10" s="12" t="s">
        <v>375</v>
      </c>
      <c r="K10" s="12" t="s">
        <v>375</v>
      </c>
      <c r="L10" s="12"/>
      <c r="M10" s="12"/>
      <c r="N10" s="12"/>
      <c r="O10" s="12"/>
      <c r="P10" s="12"/>
      <c r="Q10" s="12"/>
      <c r="R10" s="12"/>
      <c r="S10" s="12"/>
      <c r="T10" s="12"/>
      <c r="U10" s="12"/>
      <c r="V10" s="12"/>
      <c r="W10" s="12"/>
      <c r="X10" s="12"/>
      <c r="Y10" s="12"/>
      <c r="Z10" s="12"/>
      <c r="AA10" s="12"/>
      <c r="AB10" s="12"/>
      <c r="AC10" s="12"/>
      <c r="AD10" s="12"/>
      <c r="AE10" s="12"/>
      <c r="AF10" s="12"/>
    </row>
    <row r="11" spans="1:32" ht="15" customHeight="1">
      <c r="A11" s="13" t="s">
        <v>122</v>
      </c>
      <c r="B11" s="14">
        <v>82646</v>
      </c>
      <c r="C11" s="14">
        <v>81370</v>
      </c>
      <c r="D11" s="14">
        <v>78844</v>
      </c>
      <c r="E11" s="14">
        <v>76324.675000000003</v>
      </c>
      <c r="F11" s="14">
        <v>68636.145999999993</v>
      </c>
      <c r="G11" s="14">
        <v>51297.843000000001</v>
      </c>
      <c r="H11" s="14">
        <v>52893.31</v>
      </c>
      <c r="I11" s="14">
        <v>60113.921999999999</v>
      </c>
      <c r="J11" s="14">
        <v>58727.324000000001</v>
      </c>
      <c r="K11" s="14">
        <v>55371.139000000003</v>
      </c>
      <c r="L11" s="14">
        <v>50366.919000000002</v>
      </c>
      <c r="M11" s="14">
        <v>48680.752</v>
      </c>
      <c r="N11" s="14">
        <v>46516.712</v>
      </c>
      <c r="O11" s="14">
        <v>44411.233</v>
      </c>
      <c r="P11" s="14">
        <v>42380.938999999998</v>
      </c>
      <c r="Q11" s="14">
        <v>39323.489000000001</v>
      </c>
      <c r="R11" s="14">
        <v>37243.495000000003</v>
      </c>
      <c r="S11" s="14">
        <v>36853.33</v>
      </c>
      <c r="T11" s="14">
        <v>37522.110999999997</v>
      </c>
      <c r="U11" s="14">
        <v>35042.074999999997</v>
      </c>
      <c r="V11" s="14">
        <v>32628.437999999998</v>
      </c>
      <c r="W11" s="14">
        <v>30281.914000000001</v>
      </c>
      <c r="X11" s="14">
        <v>29335.402999999998</v>
      </c>
      <c r="Y11" s="14">
        <v>26140</v>
      </c>
      <c r="Z11" s="14">
        <v>23351</v>
      </c>
      <c r="AA11" s="14">
        <v>21785</v>
      </c>
      <c r="AB11" s="14">
        <v>19303.268</v>
      </c>
      <c r="AC11" s="14">
        <v>17422.814999999999</v>
      </c>
      <c r="AD11" s="14">
        <v>15327.536</v>
      </c>
      <c r="AE11" s="14">
        <v>14454.589</v>
      </c>
      <c r="AF11" s="14">
        <v>13395.13</v>
      </c>
    </row>
    <row r="12" spans="1:32" ht="15" hidden="1" customHeight="1" outlineLevel="1">
      <c r="A12" s="15" t="s">
        <v>242</v>
      </c>
      <c r="B12" s="16">
        <v>67484</v>
      </c>
      <c r="C12" s="16">
        <v>67332</v>
      </c>
      <c r="D12" s="16">
        <v>65092</v>
      </c>
      <c r="E12" s="16">
        <v>62474.678</v>
      </c>
      <c r="F12" s="16">
        <v>56421.622000000003</v>
      </c>
      <c r="G12" s="16">
        <v>42573.402000000002</v>
      </c>
      <c r="H12" s="16">
        <v>43700.472000000002</v>
      </c>
      <c r="I12" s="16">
        <v>49362.044000000002</v>
      </c>
      <c r="J12" s="16">
        <v>48258.508999999998</v>
      </c>
      <c r="K12" s="16">
        <v>45579.031999999999</v>
      </c>
      <c r="L12" s="16">
        <v>41935.146999999997</v>
      </c>
      <c r="M12" s="16">
        <v>40625.036</v>
      </c>
      <c r="N12" s="16">
        <v>38829.476999999999</v>
      </c>
      <c r="O12" s="16">
        <v>37017.142</v>
      </c>
      <c r="P12" s="16">
        <v>35089.262000000002</v>
      </c>
      <c r="Q12" s="16">
        <v>32376.341</v>
      </c>
      <c r="R12" s="16">
        <v>30497.708999999999</v>
      </c>
      <c r="S12" s="16">
        <v>30178.061000000002</v>
      </c>
      <c r="T12" s="16">
        <v>30679.823</v>
      </c>
      <c r="U12" s="16">
        <v>28284.602999999999</v>
      </c>
      <c r="V12" s="16">
        <v>26337.107</v>
      </c>
      <c r="W12" s="16">
        <v>24498.2</v>
      </c>
      <c r="X12" s="16">
        <v>23661.513999999999</v>
      </c>
      <c r="Y12" s="16">
        <v>20980.412</v>
      </c>
      <c r="Z12" s="16">
        <v>18722.251</v>
      </c>
      <c r="AA12" s="16">
        <v>17513</v>
      </c>
      <c r="AB12" s="16">
        <v>15649.550999999999</v>
      </c>
      <c r="AC12" s="16">
        <v>14207.86</v>
      </c>
      <c r="AD12" s="16">
        <v>12499.636</v>
      </c>
      <c r="AE12" s="16">
        <v>11835.959000000001</v>
      </c>
      <c r="AF12" s="16">
        <v>10983.796</v>
      </c>
    </row>
    <row r="13" spans="1:32" ht="15" hidden="1" customHeight="1" outlineLevel="2">
      <c r="A13" s="17" t="s">
        <v>243</v>
      </c>
      <c r="B13" s="18">
        <v>66394</v>
      </c>
      <c r="C13" s="18">
        <v>66246</v>
      </c>
      <c r="D13" s="18">
        <v>64098</v>
      </c>
      <c r="E13" s="18">
        <v>61585.504999999997</v>
      </c>
      <c r="F13" s="18">
        <v>55539.97</v>
      </c>
      <c r="G13" s="18">
        <v>41720.995999999999</v>
      </c>
      <c r="H13" s="18">
        <v>42791.595999999998</v>
      </c>
      <c r="I13" s="18">
        <v>48613.144</v>
      </c>
      <c r="J13" s="18">
        <v>47529.008999999998</v>
      </c>
      <c r="K13" s="18">
        <v>44700.732000000004</v>
      </c>
      <c r="L13" s="18">
        <v>41289.146999999997</v>
      </c>
      <c r="M13" s="18">
        <v>40089.235999999997</v>
      </c>
      <c r="N13" s="18">
        <v>38293.476999999999</v>
      </c>
      <c r="O13" s="18">
        <v>36511.542000000001</v>
      </c>
      <c r="P13" s="18">
        <v>34679.462</v>
      </c>
      <c r="Q13" s="18">
        <v>31980.440999999999</v>
      </c>
      <c r="R13" s="18">
        <v>30115.109</v>
      </c>
      <c r="S13" s="18">
        <v>29801.253000000001</v>
      </c>
      <c r="T13" s="18">
        <v>30313.388999999999</v>
      </c>
      <c r="U13" s="18">
        <v>27930.178</v>
      </c>
      <c r="V13" s="18">
        <v>26005.665000000001</v>
      </c>
      <c r="W13" s="18">
        <v>24192.52</v>
      </c>
      <c r="X13" s="18">
        <v>23377.919000000002</v>
      </c>
      <c r="Y13" s="18">
        <v>20707</v>
      </c>
      <c r="Z13" s="18">
        <v>18444</v>
      </c>
      <c r="AA13" s="18">
        <v>17265</v>
      </c>
      <c r="AB13" s="18">
        <v>15428.89</v>
      </c>
      <c r="AC13" s="18">
        <v>14002.855</v>
      </c>
      <c r="AD13" s="18">
        <v>12318.402</v>
      </c>
      <c r="AE13" s="18">
        <v>11675.666999999999</v>
      </c>
      <c r="AF13" s="18">
        <v>10839.087</v>
      </c>
    </row>
    <row r="14" spans="1:32" ht="15" hidden="1" customHeight="1" outlineLevel="2">
      <c r="A14" s="19" t="s">
        <v>244</v>
      </c>
      <c r="B14" s="16">
        <v>1090</v>
      </c>
      <c r="C14" s="16">
        <v>1086</v>
      </c>
      <c r="D14" s="16">
        <v>994</v>
      </c>
      <c r="E14" s="16">
        <v>889.173</v>
      </c>
      <c r="F14" s="16">
        <v>881.65200000000004</v>
      </c>
      <c r="G14" s="16">
        <v>852.40599999999995</v>
      </c>
      <c r="H14" s="16">
        <v>908.87599999999998</v>
      </c>
      <c r="I14" s="16">
        <v>748.9</v>
      </c>
      <c r="J14" s="16">
        <v>729.5</v>
      </c>
      <c r="K14" s="16">
        <v>878.3</v>
      </c>
      <c r="L14" s="16">
        <v>646</v>
      </c>
      <c r="M14" s="16">
        <v>535.79999999999995</v>
      </c>
      <c r="N14" s="16">
        <v>536</v>
      </c>
      <c r="O14" s="16">
        <v>505.6</v>
      </c>
      <c r="P14" s="16">
        <v>409.8</v>
      </c>
      <c r="Q14" s="16">
        <v>395.9</v>
      </c>
      <c r="R14" s="16">
        <v>382.6</v>
      </c>
      <c r="S14" s="16">
        <v>376.80799999999999</v>
      </c>
      <c r="T14" s="16">
        <v>366.43400000000003</v>
      </c>
      <c r="U14" s="16">
        <v>354.42500000000001</v>
      </c>
      <c r="V14" s="16">
        <v>331.44200000000001</v>
      </c>
      <c r="W14" s="16">
        <v>305.68</v>
      </c>
      <c r="X14" s="16">
        <v>283.59500000000003</v>
      </c>
      <c r="Y14" s="16">
        <v>273.41199999999998</v>
      </c>
      <c r="Z14" s="16">
        <v>278.25099999999998</v>
      </c>
      <c r="AA14" s="16">
        <v>248</v>
      </c>
      <c r="AB14" s="16">
        <v>220.661</v>
      </c>
      <c r="AC14" s="16">
        <v>205.005</v>
      </c>
      <c r="AD14" s="16">
        <v>181.23400000000001</v>
      </c>
      <c r="AE14" s="16">
        <v>160.292</v>
      </c>
      <c r="AF14" s="16">
        <v>144.709</v>
      </c>
    </row>
    <row r="15" spans="1:32" ht="15" hidden="1" customHeight="1" outlineLevel="3">
      <c r="A15" s="20" t="s">
        <v>164</v>
      </c>
      <c r="B15" s="21"/>
      <c r="C15" s="18">
        <v>939</v>
      </c>
      <c r="D15" s="18">
        <v>852</v>
      </c>
      <c r="E15" s="18">
        <v>762.87300000000005</v>
      </c>
      <c r="F15" s="18">
        <v>748.75199999999995</v>
      </c>
      <c r="G15" s="18">
        <v>748.90599999999995</v>
      </c>
      <c r="H15" s="18">
        <v>813.57600000000002</v>
      </c>
      <c r="I15" s="18">
        <v>656.6</v>
      </c>
      <c r="J15" s="18">
        <v>614.79999999999995</v>
      </c>
      <c r="K15" s="18">
        <v>765.4</v>
      </c>
      <c r="L15" s="18">
        <v>608.70000000000005</v>
      </c>
      <c r="M15" s="18">
        <v>495.8</v>
      </c>
      <c r="N15" s="18">
        <v>493.8</v>
      </c>
      <c r="O15" s="18">
        <v>473.5</v>
      </c>
      <c r="P15" s="18">
        <v>384.9</v>
      </c>
      <c r="Q15" s="18">
        <v>374</v>
      </c>
      <c r="R15" s="18">
        <v>361.7</v>
      </c>
      <c r="S15" s="18">
        <v>361.06200000000001</v>
      </c>
      <c r="T15" s="18">
        <v>352.56900000000002</v>
      </c>
      <c r="U15" s="18">
        <v>341.714</v>
      </c>
      <c r="V15" s="18">
        <v>320.66899999999998</v>
      </c>
      <c r="W15" s="18">
        <v>298.11099999999999</v>
      </c>
      <c r="X15" s="18">
        <v>273.02999999999997</v>
      </c>
      <c r="Y15" s="18">
        <v>263.48</v>
      </c>
      <c r="Z15" s="18">
        <v>243.49799999999999</v>
      </c>
      <c r="AA15" s="18">
        <v>236</v>
      </c>
      <c r="AB15" s="21"/>
      <c r="AC15" s="21"/>
      <c r="AD15" s="21"/>
      <c r="AE15" s="21"/>
      <c r="AF15" s="21"/>
    </row>
    <row r="16" spans="1:32" ht="15" hidden="1" customHeight="1" outlineLevel="3">
      <c r="A16" s="22" t="s">
        <v>245</v>
      </c>
      <c r="B16" s="23"/>
      <c r="C16" s="24">
        <v>147</v>
      </c>
      <c r="D16" s="24">
        <v>142</v>
      </c>
      <c r="E16" s="24">
        <v>126.3</v>
      </c>
      <c r="F16" s="24">
        <v>132.9</v>
      </c>
      <c r="G16" s="24">
        <v>103.5</v>
      </c>
      <c r="H16" s="24">
        <v>95.3</v>
      </c>
      <c r="I16" s="24">
        <v>92.3</v>
      </c>
      <c r="J16" s="24">
        <v>114.7</v>
      </c>
      <c r="K16" s="24">
        <v>112.9</v>
      </c>
      <c r="L16" s="24">
        <v>37.299999999999997</v>
      </c>
      <c r="M16" s="24">
        <v>40</v>
      </c>
      <c r="N16" s="24">
        <v>42.2</v>
      </c>
      <c r="O16" s="24">
        <v>32.1</v>
      </c>
      <c r="P16" s="24">
        <v>24.9</v>
      </c>
      <c r="Q16" s="24">
        <v>21.9</v>
      </c>
      <c r="R16" s="24">
        <v>20.9</v>
      </c>
      <c r="S16" s="24">
        <v>15.746</v>
      </c>
      <c r="T16" s="24">
        <v>13.865</v>
      </c>
      <c r="U16" s="24">
        <v>12.711</v>
      </c>
      <c r="V16" s="24">
        <v>10.773</v>
      </c>
      <c r="W16" s="24">
        <v>7.569</v>
      </c>
      <c r="X16" s="24">
        <v>10.565</v>
      </c>
      <c r="Y16" s="24">
        <v>9.9320000000000004</v>
      </c>
      <c r="Z16" s="24">
        <v>34.753</v>
      </c>
      <c r="AA16" s="24">
        <v>12</v>
      </c>
      <c r="AB16" s="23"/>
      <c r="AC16" s="23"/>
      <c r="AD16" s="23"/>
      <c r="AE16" s="23"/>
      <c r="AF16" s="23"/>
    </row>
    <row r="17" spans="1:32" ht="15" customHeight="1" collapsed="1">
      <c r="A17" s="13" t="s">
        <v>246</v>
      </c>
      <c r="B17" s="14">
        <v>15162</v>
      </c>
      <c r="C17" s="14">
        <v>14038</v>
      </c>
      <c r="D17" s="14">
        <v>13752</v>
      </c>
      <c r="E17" s="14">
        <v>13849.996999999999</v>
      </c>
      <c r="F17" s="14">
        <v>12214.523999999999</v>
      </c>
      <c r="G17" s="14">
        <v>8724.4410000000007</v>
      </c>
      <c r="H17" s="14">
        <v>9192.8379999999997</v>
      </c>
      <c r="I17" s="14">
        <v>10751.878000000001</v>
      </c>
      <c r="J17" s="14">
        <v>10468.815000000001</v>
      </c>
      <c r="K17" s="14">
        <v>9792.107</v>
      </c>
      <c r="L17" s="14">
        <v>8431.7720000000008</v>
      </c>
      <c r="M17" s="14">
        <v>8055.7160000000003</v>
      </c>
      <c r="N17" s="14">
        <v>7687.2349999999997</v>
      </c>
      <c r="O17" s="14">
        <v>7394.0910000000003</v>
      </c>
      <c r="P17" s="14">
        <v>7291.6769999999997</v>
      </c>
      <c r="Q17" s="14">
        <v>6947.1480000000001</v>
      </c>
      <c r="R17" s="14">
        <v>6745.7860000000001</v>
      </c>
      <c r="S17" s="14">
        <v>6675.2690000000002</v>
      </c>
      <c r="T17" s="14">
        <v>6842.2879999999996</v>
      </c>
      <c r="U17" s="14">
        <v>6757.4719999999998</v>
      </c>
      <c r="V17" s="14">
        <v>6291.3310000000001</v>
      </c>
      <c r="W17" s="14">
        <v>5783.7139999999999</v>
      </c>
      <c r="X17" s="14">
        <v>5673.8890000000001</v>
      </c>
      <c r="Y17" s="14">
        <v>5159.5879999999997</v>
      </c>
      <c r="Z17" s="14">
        <v>4628.7489999999998</v>
      </c>
      <c r="AA17" s="14">
        <v>4272</v>
      </c>
      <c r="AB17" s="14">
        <v>3653.7170000000001</v>
      </c>
      <c r="AC17" s="14">
        <v>3214.9549999999999</v>
      </c>
      <c r="AD17" s="14">
        <v>2827.9</v>
      </c>
      <c r="AE17" s="14">
        <v>2618.63</v>
      </c>
      <c r="AF17" s="14">
        <v>2411.3339999999998</v>
      </c>
    </row>
    <row r="18" spans="1:32" ht="15" customHeight="1" outlineLevel="1">
      <c r="A18" s="15" t="s">
        <v>247</v>
      </c>
      <c r="B18" s="16">
        <v>11692</v>
      </c>
      <c r="C18" s="16">
        <v>10526</v>
      </c>
      <c r="D18" s="16">
        <v>10270</v>
      </c>
      <c r="E18" s="16">
        <v>10708.566000000001</v>
      </c>
      <c r="F18" s="16">
        <v>9784.7250000000004</v>
      </c>
      <c r="G18" s="16">
        <v>7133.31</v>
      </c>
      <c r="H18" s="16">
        <v>7677.9920000000002</v>
      </c>
      <c r="I18" s="16">
        <v>8259.3169999999991</v>
      </c>
      <c r="J18" s="16">
        <v>8079.518</v>
      </c>
      <c r="K18" s="16">
        <v>7579.7359999999999</v>
      </c>
      <c r="L18" s="16">
        <v>6422.5720000000001</v>
      </c>
      <c r="M18" s="16">
        <v>6263.8860000000004</v>
      </c>
      <c r="N18" s="16">
        <v>5951.7269999999999</v>
      </c>
      <c r="O18" s="16">
        <v>5352.23</v>
      </c>
      <c r="P18" s="16">
        <v>5205.2250000000004</v>
      </c>
      <c r="Q18" s="16">
        <v>5015.6459999999997</v>
      </c>
      <c r="R18" s="16">
        <v>4769.9179999999997</v>
      </c>
      <c r="S18" s="16">
        <v>4803.058</v>
      </c>
      <c r="T18" s="16">
        <v>4962.3389999999999</v>
      </c>
      <c r="U18" s="16">
        <v>5048.99</v>
      </c>
      <c r="V18" s="16">
        <v>4796.3010000000004</v>
      </c>
      <c r="W18" s="16">
        <v>4194.1840000000002</v>
      </c>
      <c r="X18" s="16">
        <v>4141.2299999999996</v>
      </c>
      <c r="Y18" s="16">
        <v>3836</v>
      </c>
      <c r="Z18" s="16">
        <v>3468</v>
      </c>
      <c r="AA18" s="16">
        <v>3233</v>
      </c>
      <c r="AB18" s="16">
        <v>2843.7550000000001</v>
      </c>
      <c r="AC18" s="25"/>
      <c r="AD18" s="16">
        <v>2236.9319999999998</v>
      </c>
      <c r="AE18" s="16">
        <v>2076.335</v>
      </c>
      <c r="AF18" s="16">
        <v>1917.376</v>
      </c>
    </row>
    <row r="19" spans="1:32" ht="15" hidden="1" customHeight="1" outlineLevel="2">
      <c r="A19" s="17" t="s">
        <v>248</v>
      </c>
      <c r="B19" s="18">
        <v>11692</v>
      </c>
      <c r="C19" s="18">
        <v>10526</v>
      </c>
      <c r="D19" s="18">
        <v>10270</v>
      </c>
      <c r="E19" s="18">
        <v>10708.566000000001</v>
      </c>
      <c r="F19" s="18">
        <v>9784.7250000000004</v>
      </c>
      <c r="G19" s="18">
        <v>7133.31</v>
      </c>
      <c r="H19" s="18">
        <v>7677.9920000000002</v>
      </c>
      <c r="I19" s="18">
        <v>8259.3169999999991</v>
      </c>
      <c r="J19" s="18">
        <v>8079.518</v>
      </c>
      <c r="K19" s="18">
        <v>7579.7359999999999</v>
      </c>
      <c r="L19" s="18">
        <v>6422.5720000000001</v>
      </c>
      <c r="M19" s="18">
        <v>6263.8860000000004</v>
      </c>
      <c r="N19" s="18">
        <v>5951.7269999999999</v>
      </c>
      <c r="O19" s="18">
        <v>5352.23</v>
      </c>
      <c r="P19" s="18">
        <v>5205.2250000000004</v>
      </c>
      <c r="Q19" s="18">
        <v>5015.6459999999997</v>
      </c>
      <c r="R19" s="18">
        <v>4769.9179999999997</v>
      </c>
      <c r="S19" s="18">
        <v>4803.058</v>
      </c>
      <c r="T19" s="18">
        <v>4962.3389999999999</v>
      </c>
      <c r="U19" s="18">
        <v>5048.99</v>
      </c>
      <c r="V19" s="18">
        <v>4796.3010000000004</v>
      </c>
      <c r="W19" s="18">
        <v>4194.1840000000002</v>
      </c>
      <c r="X19" s="18">
        <v>4141.2299999999996</v>
      </c>
      <c r="Y19" s="18">
        <v>3836</v>
      </c>
      <c r="Z19" s="18">
        <v>3468</v>
      </c>
      <c r="AA19" s="18">
        <v>3233</v>
      </c>
      <c r="AB19" s="18">
        <v>2843.7550000000001</v>
      </c>
      <c r="AC19" s="21"/>
      <c r="AD19" s="18">
        <v>2236.9319999999998</v>
      </c>
      <c r="AE19" s="18">
        <v>2076.335</v>
      </c>
      <c r="AF19" s="18">
        <v>1917.376</v>
      </c>
    </row>
    <row r="20" spans="1:32" ht="15" customHeight="1" outlineLevel="1" collapsed="1">
      <c r="A20" s="26" t="s">
        <v>380</v>
      </c>
      <c r="B20" s="24">
        <v>0</v>
      </c>
      <c r="C20" s="24">
        <v>0</v>
      </c>
      <c r="D20" s="24">
        <v>0</v>
      </c>
      <c r="E20" s="24">
        <v>0</v>
      </c>
      <c r="F20" s="24">
        <v>0</v>
      </c>
      <c r="G20" s="24">
        <v>0</v>
      </c>
      <c r="H20" s="24">
        <v>0</v>
      </c>
      <c r="I20" s="24">
        <v>0</v>
      </c>
      <c r="J20" s="24">
        <v>0</v>
      </c>
      <c r="K20" s="24">
        <v>0</v>
      </c>
      <c r="L20" s="24">
        <v>0</v>
      </c>
      <c r="M20" s="24">
        <v>0</v>
      </c>
      <c r="N20" s="24">
        <v>0</v>
      </c>
      <c r="O20" s="24">
        <v>0</v>
      </c>
      <c r="P20" s="24">
        <v>0</v>
      </c>
      <c r="Q20" s="24">
        <v>0</v>
      </c>
      <c r="R20" s="24">
        <v>0</v>
      </c>
      <c r="S20" s="24">
        <v>0</v>
      </c>
      <c r="T20" s="24">
        <v>0</v>
      </c>
      <c r="U20" s="24">
        <v>0</v>
      </c>
      <c r="V20" s="24">
        <v>0</v>
      </c>
      <c r="W20" s="24">
        <v>0</v>
      </c>
      <c r="X20" s="24">
        <v>0</v>
      </c>
      <c r="Y20" s="27">
        <v>-0.41199999999999998</v>
      </c>
      <c r="Z20" s="27">
        <v>-0.251</v>
      </c>
      <c r="AA20" s="24">
        <v>0</v>
      </c>
      <c r="AB20" s="24">
        <v>0</v>
      </c>
      <c r="AC20" s="24">
        <v>2547.2660000000001</v>
      </c>
      <c r="AD20" s="24">
        <v>0</v>
      </c>
      <c r="AE20" s="24">
        <v>0</v>
      </c>
      <c r="AF20" s="24">
        <v>0</v>
      </c>
    </row>
    <row r="21" spans="1:32" ht="15" customHeight="1">
      <c r="A21" s="13" t="s">
        <v>249</v>
      </c>
      <c r="B21" s="14">
        <v>3470</v>
      </c>
      <c r="C21" s="14">
        <v>3512</v>
      </c>
      <c r="D21" s="14">
        <v>3482</v>
      </c>
      <c r="E21" s="14">
        <v>3141.431</v>
      </c>
      <c r="F21" s="14">
        <v>2429.799</v>
      </c>
      <c r="G21" s="14">
        <v>1591.1310000000001</v>
      </c>
      <c r="H21" s="14">
        <v>1514.846</v>
      </c>
      <c r="I21" s="14">
        <v>2492.5610000000001</v>
      </c>
      <c r="J21" s="14">
        <v>2389.297</v>
      </c>
      <c r="K21" s="14">
        <v>2212.3710000000001</v>
      </c>
      <c r="L21" s="14">
        <v>2009.2</v>
      </c>
      <c r="M21" s="14">
        <v>1791.83</v>
      </c>
      <c r="N21" s="14">
        <v>1735.508</v>
      </c>
      <c r="O21" s="14">
        <v>2041.8610000000001</v>
      </c>
      <c r="P21" s="14">
        <v>2086.4520000000002</v>
      </c>
      <c r="Q21" s="14">
        <v>1931.502</v>
      </c>
      <c r="R21" s="14">
        <v>1975.8679999999999</v>
      </c>
      <c r="S21" s="14">
        <v>1872.211</v>
      </c>
      <c r="T21" s="14">
        <v>1879.9490000000001</v>
      </c>
      <c r="U21" s="14">
        <v>1708.482</v>
      </c>
      <c r="V21" s="14">
        <v>1495.03</v>
      </c>
      <c r="W21" s="14">
        <v>1589.53</v>
      </c>
      <c r="X21" s="14">
        <v>1532.6590000000001</v>
      </c>
      <c r="Y21" s="14">
        <v>1324</v>
      </c>
      <c r="Z21" s="14">
        <v>1161</v>
      </c>
      <c r="AA21" s="14">
        <v>1039</v>
      </c>
      <c r="AB21" s="14">
        <v>809.96199999999999</v>
      </c>
      <c r="AC21" s="14">
        <v>667.68899999999996</v>
      </c>
      <c r="AD21" s="14">
        <v>590.96799999999996</v>
      </c>
      <c r="AE21" s="14">
        <v>542.29499999999996</v>
      </c>
      <c r="AF21" s="14">
        <v>493.95800000000003</v>
      </c>
    </row>
    <row r="22" spans="1:32" ht="15" customHeight="1" outlineLevel="1">
      <c r="A22" s="15" t="s">
        <v>250</v>
      </c>
      <c r="B22" s="16">
        <v>-55</v>
      </c>
      <c r="C22" s="16">
        <v>-33</v>
      </c>
      <c r="D22" s="16">
        <v>-42</v>
      </c>
      <c r="E22" s="16">
        <v>-267.02300000000002</v>
      </c>
      <c r="F22" s="16">
        <v>71.820999999999998</v>
      </c>
      <c r="G22" s="16">
        <v>-4.29</v>
      </c>
      <c r="H22" s="16">
        <v>-77.828999999999994</v>
      </c>
      <c r="I22" s="16">
        <v>33.305999999999997</v>
      </c>
      <c r="J22" s="16">
        <v>41.911000000000001</v>
      </c>
      <c r="K22" s="16">
        <v>4.4420000000000002</v>
      </c>
      <c r="L22" s="16">
        <v>-122.89</v>
      </c>
      <c r="M22" s="16">
        <v>25.286999999999999</v>
      </c>
      <c r="N22" s="16">
        <v>11.618</v>
      </c>
      <c r="O22" s="16">
        <v>17.472000000000001</v>
      </c>
      <c r="P22" s="16">
        <v>6.766</v>
      </c>
      <c r="Q22" s="16">
        <v>14.218999999999999</v>
      </c>
      <c r="R22" s="16">
        <v>-0.80200000000000005</v>
      </c>
      <c r="S22" s="16">
        <v>14.945</v>
      </c>
      <c r="T22" s="16">
        <v>22.93</v>
      </c>
      <c r="U22" s="16">
        <v>17.734999999999999</v>
      </c>
      <c r="V22" s="16">
        <v>9.016</v>
      </c>
      <c r="W22" s="16">
        <v>10.906000000000001</v>
      </c>
      <c r="X22" s="16">
        <v>12.365</v>
      </c>
      <c r="Y22" s="16">
        <v>8</v>
      </c>
      <c r="Z22" s="16">
        <v>3</v>
      </c>
      <c r="AA22" s="16">
        <v>0</v>
      </c>
      <c r="AB22" s="16">
        <v>11.478</v>
      </c>
      <c r="AC22" s="16">
        <v>-0.96299999999999997</v>
      </c>
      <c r="AD22" s="16">
        <v>-5.2999999999999999E-2</v>
      </c>
      <c r="AE22" s="16">
        <v>0.16200000000000001</v>
      </c>
      <c r="AF22" s="16">
        <v>1.004</v>
      </c>
    </row>
    <row r="23" spans="1:32" ht="15" hidden="1" customHeight="1" outlineLevel="2">
      <c r="A23" s="17" t="s">
        <v>251</v>
      </c>
      <c r="B23" s="28">
        <v>-55</v>
      </c>
      <c r="C23" s="28">
        <v>-33</v>
      </c>
      <c r="D23" s="28">
        <v>-42</v>
      </c>
      <c r="E23" s="28">
        <v>-267.02300000000002</v>
      </c>
      <c r="F23" s="18">
        <v>71.820999999999998</v>
      </c>
      <c r="G23" s="28">
        <v>-4.29</v>
      </c>
      <c r="H23" s="28">
        <v>-77.828999999999994</v>
      </c>
      <c r="I23" s="18">
        <v>33.305999999999997</v>
      </c>
      <c r="J23" s="18">
        <v>41.911000000000001</v>
      </c>
      <c r="K23" s="18">
        <v>4.4420000000000002</v>
      </c>
      <c r="L23" s="28">
        <v>-122.89</v>
      </c>
      <c r="M23" s="18">
        <v>25.286999999999999</v>
      </c>
      <c r="N23" s="18">
        <v>11.618</v>
      </c>
      <c r="O23" s="18">
        <v>17.472000000000001</v>
      </c>
      <c r="P23" s="18">
        <v>6.766</v>
      </c>
      <c r="Q23" s="18">
        <v>14.218999999999999</v>
      </c>
      <c r="R23" s="28">
        <v>-0.80200000000000005</v>
      </c>
      <c r="S23" s="18">
        <v>14.945</v>
      </c>
      <c r="T23" s="18">
        <v>22.93</v>
      </c>
      <c r="U23" s="18">
        <v>17.734999999999999</v>
      </c>
      <c r="V23" s="18">
        <v>9.016</v>
      </c>
      <c r="W23" s="18">
        <v>10.906000000000001</v>
      </c>
      <c r="X23" s="18">
        <v>12.365</v>
      </c>
      <c r="Y23" s="18">
        <v>8</v>
      </c>
      <c r="Z23" s="18">
        <v>3</v>
      </c>
      <c r="AA23" s="18">
        <v>0</v>
      </c>
      <c r="AB23" s="18">
        <v>11.478</v>
      </c>
      <c r="AC23" s="28">
        <v>-0.96299999999999997</v>
      </c>
      <c r="AD23" s="28">
        <v>-5.2999999999999999E-2</v>
      </c>
      <c r="AE23" s="18">
        <v>0.16200000000000001</v>
      </c>
      <c r="AF23" s="18">
        <v>1.004</v>
      </c>
    </row>
    <row r="24" spans="1:32" ht="15" customHeight="1" outlineLevel="1" collapsed="1">
      <c r="A24" s="15" t="s">
        <v>120</v>
      </c>
      <c r="B24" s="16">
        <v>583</v>
      </c>
      <c r="C24" s="16">
        <v>588</v>
      </c>
      <c r="D24" s="16">
        <v>578</v>
      </c>
      <c r="E24" s="16">
        <v>500.3</v>
      </c>
      <c r="F24" s="16">
        <v>470.26400000000001</v>
      </c>
      <c r="G24" s="16">
        <v>505.03899999999999</v>
      </c>
      <c r="H24" s="16">
        <v>339.95800000000003</v>
      </c>
      <c r="I24" s="16">
        <v>273.90899999999999</v>
      </c>
      <c r="J24" s="16">
        <v>314.02600000000001</v>
      </c>
      <c r="K24" s="16">
        <v>291.38299999999998</v>
      </c>
      <c r="L24" s="16">
        <v>220.17599999999999</v>
      </c>
      <c r="M24" s="16">
        <v>130.04</v>
      </c>
      <c r="N24" s="16">
        <v>133.995</v>
      </c>
      <c r="O24" s="16">
        <v>132.36099999999999</v>
      </c>
      <c r="P24" s="16">
        <v>120.604</v>
      </c>
      <c r="Q24" s="16">
        <v>127.29300000000001</v>
      </c>
      <c r="R24" s="16">
        <v>136.03399999999999</v>
      </c>
      <c r="S24" s="16">
        <v>116.322</v>
      </c>
      <c r="T24" s="16">
        <v>111.541</v>
      </c>
      <c r="U24" s="16">
        <v>105.002</v>
      </c>
      <c r="V24" s="16">
        <v>109.1</v>
      </c>
      <c r="W24" s="16">
        <v>75</v>
      </c>
      <c r="X24" s="16">
        <v>69.88</v>
      </c>
      <c r="Y24" s="16">
        <v>72</v>
      </c>
      <c r="Z24" s="16">
        <v>63</v>
      </c>
      <c r="AA24" s="16">
        <v>72</v>
      </c>
      <c r="AB24" s="16">
        <v>70.831999999999994</v>
      </c>
      <c r="AC24" s="16">
        <v>72.838999999999999</v>
      </c>
      <c r="AD24" s="16">
        <v>58.421999999999997</v>
      </c>
      <c r="AE24" s="16">
        <v>46.502000000000002</v>
      </c>
      <c r="AF24" s="16">
        <v>41.018999999999998</v>
      </c>
    </row>
    <row r="25" spans="1:32" ht="15" customHeight="1" outlineLevel="2">
      <c r="A25" s="17" t="s">
        <v>252</v>
      </c>
      <c r="B25" s="18">
        <v>583</v>
      </c>
      <c r="C25" s="18">
        <v>588</v>
      </c>
      <c r="D25" s="18">
        <v>578</v>
      </c>
      <c r="E25" s="18">
        <v>500.3</v>
      </c>
      <c r="F25" s="18">
        <v>470.26400000000001</v>
      </c>
      <c r="G25" s="18">
        <v>505.03899999999999</v>
      </c>
      <c r="H25" s="18">
        <v>339.95800000000003</v>
      </c>
      <c r="I25" s="18">
        <v>273.90899999999999</v>
      </c>
      <c r="J25" s="18">
        <v>314.02600000000001</v>
      </c>
      <c r="K25" s="18">
        <v>293.42099999999999</v>
      </c>
      <c r="L25" s="18">
        <v>222.208</v>
      </c>
      <c r="M25" s="18">
        <v>130.90600000000001</v>
      </c>
      <c r="N25" s="18">
        <v>135.09200000000001</v>
      </c>
      <c r="O25" s="18">
        <v>136.60300000000001</v>
      </c>
      <c r="P25" s="18">
        <v>141.404</v>
      </c>
      <c r="Q25" s="18">
        <v>141.19300000000001</v>
      </c>
      <c r="R25" s="18">
        <v>146.03399999999999</v>
      </c>
      <c r="S25" s="18">
        <v>119.85299999999999</v>
      </c>
      <c r="T25" s="18">
        <v>118.346</v>
      </c>
      <c r="U25" s="18">
        <v>108.95699999999999</v>
      </c>
      <c r="V25" s="18">
        <v>111.953</v>
      </c>
      <c r="W25" s="18">
        <v>79.316000000000003</v>
      </c>
      <c r="X25" s="18">
        <v>77.375</v>
      </c>
      <c r="Y25" s="18">
        <v>77</v>
      </c>
      <c r="Z25" s="18">
        <v>67</v>
      </c>
      <c r="AA25" s="18">
        <v>75</v>
      </c>
      <c r="AB25" s="18">
        <v>71.796000000000006</v>
      </c>
      <c r="AC25" s="18">
        <v>74.650999999999996</v>
      </c>
      <c r="AD25" s="18">
        <v>60.517000000000003</v>
      </c>
      <c r="AE25" s="18">
        <v>48.716999999999999</v>
      </c>
      <c r="AF25" s="18">
        <v>43.802</v>
      </c>
    </row>
    <row r="26" spans="1:32" ht="15" customHeight="1" outlineLevel="2">
      <c r="A26" s="29" t="s">
        <v>381</v>
      </c>
      <c r="B26" s="24">
        <v>0</v>
      </c>
      <c r="C26" s="24">
        <v>0</v>
      </c>
      <c r="D26" s="24">
        <v>0</v>
      </c>
      <c r="E26" s="24">
        <v>0</v>
      </c>
      <c r="F26" s="24">
        <v>0</v>
      </c>
      <c r="G26" s="24">
        <v>0</v>
      </c>
      <c r="H26" s="24">
        <v>0</v>
      </c>
      <c r="I26" s="24">
        <v>0</v>
      </c>
      <c r="J26" s="24">
        <v>0</v>
      </c>
      <c r="K26" s="24">
        <v>2.0379999999999998</v>
      </c>
      <c r="L26" s="24">
        <v>2.032</v>
      </c>
      <c r="M26" s="24">
        <v>0.86599999999999999</v>
      </c>
      <c r="N26" s="24">
        <v>1.097</v>
      </c>
      <c r="O26" s="24">
        <v>4.242</v>
      </c>
      <c r="P26" s="24">
        <v>20.8</v>
      </c>
      <c r="Q26" s="24">
        <v>13.9</v>
      </c>
      <c r="R26" s="24">
        <v>10</v>
      </c>
      <c r="S26" s="24">
        <v>3.5310000000000001</v>
      </c>
      <c r="T26" s="24">
        <v>6.8049999999999997</v>
      </c>
      <c r="U26" s="24">
        <v>3.9550000000000001</v>
      </c>
      <c r="V26" s="24">
        <v>2.8530000000000002</v>
      </c>
      <c r="W26" s="24">
        <v>4.3159999999999998</v>
      </c>
      <c r="X26" s="24">
        <v>7.4950000000000001</v>
      </c>
      <c r="Y26" s="24">
        <v>5</v>
      </c>
      <c r="Z26" s="24">
        <v>4</v>
      </c>
      <c r="AA26" s="24">
        <v>3</v>
      </c>
      <c r="AB26" s="24">
        <v>0.96399999999999997</v>
      </c>
      <c r="AC26" s="24">
        <v>1.8120000000000001</v>
      </c>
      <c r="AD26" s="24">
        <v>2.0950000000000002</v>
      </c>
      <c r="AE26" s="24">
        <v>2.2149999999999999</v>
      </c>
      <c r="AF26" s="24">
        <v>2.7829999999999999</v>
      </c>
    </row>
    <row r="27" spans="1:32" ht="15" customHeight="1" outlineLevel="1">
      <c r="A27" s="30" t="s">
        <v>253</v>
      </c>
      <c r="B27" s="14">
        <v>482</v>
      </c>
      <c r="C27" s="14">
        <v>476</v>
      </c>
      <c r="D27" s="14">
        <v>297</v>
      </c>
      <c r="E27" s="14">
        <v>88.753</v>
      </c>
      <c r="F27" s="14">
        <v>284.58300000000003</v>
      </c>
      <c r="G27" s="14">
        <v>497.07400000000001</v>
      </c>
      <c r="H27" s="14">
        <v>803.67499999999995</v>
      </c>
      <c r="I27" s="14">
        <v>246.12200000000001</v>
      </c>
      <c r="J27" s="14">
        <v>160.958</v>
      </c>
      <c r="K27" s="14">
        <v>159.19999999999999</v>
      </c>
      <c r="L27" s="14">
        <v>233.12700000000001</v>
      </c>
      <c r="M27" s="14">
        <v>678.93</v>
      </c>
      <c r="N27" s="14">
        <v>137.50700000000001</v>
      </c>
      <c r="O27" s="14">
        <v>379.517</v>
      </c>
      <c r="P27" s="14">
        <v>188.61199999999999</v>
      </c>
      <c r="Q27" s="14">
        <v>-9.0259999999999998</v>
      </c>
      <c r="R27" s="14">
        <v>-10.557</v>
      </c>
      <c r="S27" s="14">
        <v>0</v>
      </c>
      <c r="T27" s="14">
        <v>0</v>
      </c>
      <c r="U27" s="14">
        <v>0</v>
      </c>
      <c r="V27" s="14">
        <v>0</v>
      </c>
      <c r="W27" s="14">
        <v>0</v>
      </c>
      <c r="X27" s="14">
        <v>0</v>
      </c>
      <c r="Y27" s="14">
        <v>0</v>
      </c>
      <c r="Z27" s="14">
        <v>0</v>
      </c>
      <c r="AA27" s="14">
        <v>0</v>
      </c>
      <c r="AB27" s="14">
        <v>0</v>
      </c>
      <c r="AC27" s="13"/>
      <c r="AD27" s="13"/>
      <c r="AE27" s="13"/>
      <c r="AF27" s="13"/>
    </row>
    <row r="28" spans="1:32" ht="15" customHeight="1" outlineLevel="2">
      <c r="A28" s="19" t="s">
        <v>254</v>
      </c>
      <c r="B28" s="25"/>
      <c r="C28" s="16">
        <v>92</v>
      </c>
      <c r="D28" s="25"/>
      <c r="E28" s="25"/>
      <c r="F28" s="25"/>
      <c r="G28" s="16">
        <v>0</v>
      </c>
      <c r="H28" s="16">
        <v>203.20599999999999</v>
      </c>
      <c r="I28" s="25"/>
      <c r="J28" s="25"/>
      <c r="K28" s="25"/>
      <c r="L28" s="25"/>
      <c r="M28" s="25"/>
      <c r="N28" s="25"/>
      <c r="O28" s="25"/>
      <c r="P28" s="25"/>
      <c r="Q28" s="25"/>
      <c r="R28" s="25"/>
      <c r="S28" s="25"/>
      <c r="T28" s="25"/>
      <c r="U28" s="25"/>
      <c r="V28" s="25"/>
      <c r="W28" s="25"/>
      <c r="X28" s="25"/>
      <c r="Y28" s="25"/>
      <c r="Z28" s="25"/>
      <c r="AA28" s="25"/>
      <c r="AB28" s="25"/>
      <c r="AC28" s="25"/>
      <c r="AD28" s="25"/>
      <c r="AE28" s="25"/>
      <c r="AF28" s="25"/>
    </row>
    <row r="29" spans="1:32" ht="15" customHeight="1" outlineLevel="3">
      <c r="A29" s="20" t="s">
        <v>255</v>
      </c>
      <c r="B29" s="18">
        <v>92</v>
      </c>
      <c r="C29" s="18">
        <v>92</v>
      </c>
      <c r="D29" s="18">
        <v>0</v>
      </c>
      <c r="E29" s="18">
        <v>0</v>
      </c>
      <c r="F29" s="18">
        <v>0</v>
      </c>
      <c r="G29" s="18">
        <v>0</v>
      </c>
      <c r="H29" s="18">
        <v>203.20599999999999</v>
      </c>
      <c r="I29" s="18">
        <v>0</v>
      </c>
      <c r="J29" s="18">
        <v>0</v>
      </c>
      <c r="K29" s="18">
        <v>0</v>
      </c>
      <c r="L29" s="18">
        <v>0</v>
      </c>
      <c r="M29" s="18">
        <v>0</v>
      </c>
      <c r="N29" s="18">
        <v>0</v>
      </c>
      <c r="O29" s="18">
        <v>0</v>
      </c>
      <c r="P29" s="18">
        <v>0</v>
      </c>
      <c r="Q29" s="18">
        <v>0</v>
      </c>
      <c r="R29" s="18">
        <v>0</v>
      </c>
      <c r="S29" s="18">
        <v>0</v>
      </c>
      <c r="T29" s="18">
        <v>0</v>
      </c>
      <c r="U29" s="18">
        <v>0</v>
      </c>
      <c r="V29" s="18">
        <v>0</v>
      </c>
      <c r="W29" s="18">
        <v>0</v>
      </c>
      <c r="X29" s="18">
        <v>0</v>
      </c>
      <c r="Y29" s="18">
        <v>0</v>
      </c>
      <c r="Z29" s="18">
        <v>0</v>
      </c>
      <c r="AA29" s="18">
        <v>0</v>
      </c>
      <c r="AB29" s="18">
        <v>0</v>
      </c>
      <c r="AC29" s="21"/>
      <c r="AD29" s="21"/>
      <c r="AE29" s="21"/>
      <c r="AF29" s="21"/>
    </row>
    <row r="30" spans="1:32" ht="15" customHeight="1" outlineLevel="2">
      <c r="A30" s="29" t="s">
        <v>382</v>
      </c>
      <c r="B30" s="23"/>
      <c r="C30" s="23"/>
      <c r="D30" s="23"/>
      <c r="E30" s="23"/>
      <c r="F30" s="23"/>
      <c r="G30" s="23"/>
      <c r="H30" s="24">
        <v>323.40300000000002</v>
      </c>
      <c r="I30" s="23"/>
      <c r="J30" s="23"/>
      <c r="K30" s="23"/>
      <c r="L30" s="24">
        <v>0</v>
      </c>
      <c r="M30" s="24">
        <v>0</v>
      </c>
      <c r="N30" s="24">
        <v>20</v>
      </c>
      <c r="O30" s="23"/>
      <c r="P30" s="23"/>
      <c r="Q30" s="23"/>
      <c r="R30" s="23"/>
      <c r="S30" s="24">
        <v>0</v>
      </c>
      <c r="T30" s="24">
        <v>0</v>
      </c>
      <c r="U30" s="24">
        <v>0</v>
      </c>
      <c r="V30" s="24">
        <v>0</v>
      </c>
      <c r="W30" s="24">
        <v>0</v>
      </c>
      <c r="X30" s="23"/>
      <c r="Y30" s="23"/>
      <c r="Z30" s="23"/>
      <c r="AA30" s="23"/>
      <c r="AB30" s="23"/>
      <c r="AC30" s="23"/>
      <c r="AD30" s="23"/>
      <c r="AE30" s="23"/>
      <c r="AF30" s="23"/>
    </row>
    <row r="31" spans="1:32" ht="15" customHeight="1" outlineLevel="2">
      <c r="A31" s="17" t="s">
        <v>256</v>
      </c>
      <c r="B31" s="18">
        <v>321</v>
      </c>
      <c r="C31" s="18">
        <v>343</v>
      </c>
      <c r="D31" s="18">
        <v>279</v>
      </c>
      <c r="E31" s="18">
        <v>73.853999999999999</v>
      </c>
      <c r="F31" s="18">
        <v>142.70500000000001</v>
      </c>
      <c r="G31" s="18">
        <v>133.727</v>
      </c>
      <c r="H31" s="18">
        <v>220.3</v>
      </c>
      <c r="I31" s="18">
        <v>171.1</v>
      </c>
      <c r="J31" s="18">
        <v>91</v>
      </c>
      <c r="K31" s="18">
        <v>159.19999999999999</v>
      </c>
      <c r="L31" s="18">
        <v>158.69999999999999</v>
      </c>
      <c r="M31" s="18">
        <v>700.89</v>
      </c>
      <c r="N31" s="18">
        <v>104.545</v>
      </c>
      <c r="O31" s="18">
        <v>383.38299999999998</v>
      </c>
      <c r="P31" s="18">
        <v>199.541</v>
      </c>
      <c r="Q31" s="18">
        <v>0</v>
      </c>
      <c r="R31" s="18">
        <v>0</v>
      </c>
      <c r="S31" s="18">
        <v>0</v>
      </c>
      <c r="T31" s="18">
        <v>0</v>
      </c>
      <c r="U31" s="18">
        <v>0</v>
      </c>
      <c r="V31" s="18">
        <v>0</v>
      </c>
      <c r="W31" s="18">
        <v>0</v>
      </c>
      <c r="X31" s="18">
        <v>0</v>
      </c>
      <c r="Y31" s="18">
        <v>0</v>
      </c>
      <c r="Z31" s="18">
        <v>0</v>
      </c>
      <c r="AA31" s="18">
        <v>0</v>
      </c>
      <c r="AB31" s="18">
        <v>0</v>
      </c>
      <c r="AC31" s="18">
        <v>0</v>
      </c>
      <c r="AD31" s="18">
        <v>0</v>
      </c>
      <c r="AE31" s="18">
        <v>0</v>
      </c>
      <c r="AF31" s="18">
        <v>0</v>
      </c>
    </row>
    <row r="32" spans="1:32" ht="15" customHeight="1" outlineLevel="2">
      <c r="A32" s="19" t="s">
        <v>257</v>
      </c>
      <c r="B32" s="16">
        <v>-69</v>
      </c>
      <c r="C32" s="16">
        <v>-41</v>
      </c>
      <c r="D32" s="16">
        <v>-18</v>
      </c>
      <c r="E32" s="16">
        <v>-14.898999999999999</v>
      </c>
      <c r="F32" s="16">
        <v>-26.274999999999999</v>
      </c>
      <c r="G32" s="16">
        <v>-69.45</v>
      </c>
      <c r="H32" s="16">
        <v>-56.765999999999998</v>
      </c>
      <c r="I32" s="16">
        <v>-75.022000000000006</v>
      </c>
      <c r="J32" s="16">
        <v>-69.957999999999998</v>
      </c>
      <c r="K32" s="16">
        <v>0</v>
      </c>
      <c r="L32" s="16">
        <v>12.032999999999999</v>
      </c>
      <c r="M32" s="16">
        <v>21.96</v>
      </c>
      <c r="N32" s="16">
        <v>10.879</v>
      </c>
      <c r="O32" s="16">
        <v>3.8660000000000001</v>
      </c>
      <c r="P32" s="16">
        <v>7.2080000000000002</v>
      </c>
      <c r="Q32" s="16">
        <v>9.0259999999999998</v>
      </c>
      <c r="R32" s="16">
        <v>10.557</v>
      </c>
      <c r="S32" s="25"/>
      <c r="T32" s="25"/>
      <c r="U32" s="25"/>
      <c r="V32" s="25"/>
      <c r="W32" s="25"/>
      <c r="X32" s="25"/>
      <c r="Y32" s="25"/>
      <c r="Z32" s="25"/>
      <c r="AA32" s="25"/>
      <c r="AB32" s="25"/>
      <c r="AC32" s="25"/>
      <c r="AD32" s="25"/>
      <c r="AE32" s="25"/>
      <c r="AF32" s="25"/>
    </row>
    <row r="33" spans="1:32" ht="15" customHeight="1" outlineLevel="3">
      <c r="A33" s="20" t="s">
        <v>258</v>
      </c>
      <c r="B33" s="28">
        <v>-69</v>
      </c>
      <c r="C33" s="28">
        <v>-41</v>
      </c>
      <c r="D33" s="28">
        <v>-18</v>
      </c>
      <c r="E33" s="28">
        <v>-14.898999999999999</v>
      </c>
      <c r="F33" s="28">
        <v>-26.274999999999999</v>
      </c>
      <c r="G33" s="28">
        <v>-69.45</v>
      </c>
      <c r="H33" s="28">
        <v>-56.765999999999998</v>
      </c>
      <c r="I33" s="28">
        <v>-75.022000000000006</v>
      </c>
      <c r="J33" s="28">
        <v>-69.957999999999998</v>
      </c>
      <c r="K33" s="18">
        <v>0</v>
      </c>
      <c r="L33" s="18">
        <v>12.032999999999999</v>
      </c>
      <c r="M33" s="18">
        <v>21.96</v>
      </c>
      <c r="N33" s="18">
        <v>10.879</v>
      </c>
      <c r="O33" s="18">
        <v>3.8660000000000001</v>
      </c>
      <c r="P33" s="18">
        <v>7.2080000000000002</v>
      </c>
      <c r="Q33" s="18">
        <v>9.0259999999999998</v>
      </c>
      <c r="R33" s="18">
        <v>10.557</v>
      </c>
      <c r="S33" s="21"/>
      <c r="T33" s="21"/>
      <c r="U33" s="21"/>
      <c r="V33" s="21"/>
      <c r="W33" s="21"/>
      <c r="X33" s="21"/>
      <c r="Y33" s="21"/>
      <c r="Z33" s="21"/>
      <c r="AA33" s="21"/>
      <c r="AB33" s="21"/>
      <c r="AC33" s="21"/>
      <c r="AD33" s="21"/>
      <c r="AE33" s="21"/>
      <c r="AF33" s="21"/>
    </row>
    <row r="34" spans="1:32" ht="15" customHeight="1" outlineLevel="2">
      <c r="A34" s="19" t="s">
        <v>259</v>
      </c>
      <c r="B34" s="25"/>
      <c r="C34" s="25"/>
      <c r="D34" s="25"/>
      <c r="E34" s="16">
        <v>0</v>
      </c>
      <c r="F34" s="16">
        <v>115.60299999999999</v>
      </c>
      <c r="G34" s="16">
        <v>293.89699999999999</v>
      </c>
      <c r="H34" s="25"/>
      <c r="I34" s="25"/>
      <c r="J34" s="25"/>
      <c r="K34" s="25"/>
      <c r="L34" s="16">
        <v>86.46</v>
      </c>
      <c r="M34" s="16">
        <v>0</v>
      </c>
      <c r="N34" s="16">
        <v>23.841000000000001</v>
      </c>
      <c r="O34" s="25"/>
      <c r="P34" s="16">
        <v>-3.7210000000000001</v>
      </c>
      <c r="Q34" s="25"/>
      <c r="R34" s="25"/>
      <c r="S34" s="25"/>
      <c r="T34" s="25"/>
      <c r="U34" s="25"/>
      <c r="V34" s="25"/>
      <c r="W34" s="25"/>
      <c r="X34" s="25"/>
      <c r="Y34" s="25"/>
      <c r="Z34" s="25"/>
      <c r="AA34" s="25"/>
      <c r="AB34" s="25"/>
      <c r="AC34" s="25"/>
      <c r="AD34" s="25"/>
      <c r="AE34" s="25"/>
      <c r="AF34" s="25"/>
    </row>
    <row r="35" spans="1:32" ht="15" customHeight="1" outlineLevel="3">
      <c r="A35" s="20" t="s">
        <v>260</v>
      </c>
      <c r="B35" s="21"/>
      <c r="C35" s="21"/>
      <c r="D35" s="21"/>
      <c r="E35" s="18">
        <v>0</v>
      </c>
      <c r="F35" s="18">
        <v>115.60299999999999</v>
      </c>
      <c r="G35" s="18">
        <v>293.89699999999999</v>
      </c>
      <c r="H35" s="21"/>
      <c r="I35" s="21"/>
      <c r="J35" s="21"/>
      <c r="K35" s="21"/>
      <c r="L35" s="18">
        <v>86.46</v>
      </c>
      <c r="M35" s="21"/>
      <c r="N35" s="21"/>
      <c r="O35" s="21"/>
      <c r="P35" s="21"/>
      <c r="Q35" s="21"/>
      <c r="R35" s="21"/>
      <c r="S35" s="21"/>
      <c r="T35" s="21"/>
      <c r="U35" s="21"/>
      <c r="V35" s="21"/>
      <c r="W35" s="21"/>
      <c r="X35" s="21"/>
      <c r="Y35" s="21"/>
      <c r="Z35" s="21"/>
      <c r="AA35" s="21"/>
      <c r="AB35" s="21"/>
      <c r="AC35" s="21"/>
      <c r="AD35" s="21"/>
      <c r="AE35" s="21"/>
      <c r="AF35" s="21"/>
    </row>
    <row r="36" spans="1:32" ht="15" customHeight="1" outlineLevel="3">
      <c r="A36" s="22" t="s">
        <v>383</v>
      </c>
      <c r="B36" s="23"/>
      <c r="C36" s="23"/>
      <c r="D36" s="23"/>
      <c r="E36" s="23"/>
      <c r="F36" s="23"/>
      <c r="G36" s="23"/>
      <c r="H36" s="23"/>
      <c r="I36" s="23"/>
      <c r="J36" s="23"/>
      <c r="K36" s="23"/>
      <c r="L36" s="23"/>
      <c r="M36" s="24">
        <v>0</v>
      </c>
      <c r="N36" s="24">
        <v>23.841000000000001</v>
      </c>
      <c r="O36" s="23"/>
      <c r="P36" s="27">
        <v>-3.7210000000000001</v>
      </c>
      <c r="Q36" s="23"/>
      <c r="R36" s="23"/>
      <c r="S36" s="23"/>
      <c r="T36" s="23"/>
      <c r="U36" s="23"/>
      <c r="V36" s="23"/>
      <c r="W36" s="23"/>
      <c r="X36" s="23"/>
      <c r="Y36" s="23"/>
      <c r="Z36" s="23"/>
      <c r="AA36" s="23"/>
      <c r="AB36" s="23"/>
      <c r="AC36" s="23"/>
      <c r="AD36" s="23"/>
      <c r="AE36" s="23"/>
      <c r="AF36" s="23"/>
    </row>
    <row r="37" spans="1:32" ht="15" customHeight="1">
      <c r="A37" s="13" t="s">
        <v>261</v>
      </c>
      <c r="B37" s="14">
        <v>2350</v>
      </c>
      <c r="C37" s="14">
        <v>2415</v>
      </c>
      <c r="D37" s="14">
        <v>2565</v>
      </c>
      <c r="E37" s="14">
        <v>2285.355</v>
      </c>
      <c r="F37" s="14">
        <v>1746.7729999999999</v>
      </c>
      <c r="G37" s="14">
        <v>584.72799999999995</v>
      </c>
      <c r="H37" s="14">
        <v>293.38400000000001</v>
      </c>
      <c r="I37" s="14">
        <v>2005.836</v>
      </c>
      <c r="J37" s="14">
        <v>1956.2239999999999</v>
      </c>
      <c r="K37" s="14">
        <v>1766.23</v>
      </c>
      <c r="L37" s="14">
        <v>1433.0070000000001</v>
      </c>
      <c r="M37" s="14">
        <v>1008.147</v>
      </c>
      <c r="N37" s="14">
        <v>1475.624</v>
      </c>
      <c r="O37" s="14">
        <v>1547.4549999999999</v>
      </c>
      <c r="P37" s="14">
        <v>1784.002</v>
      </c>
      <c r="Q37" s="14">
        <v>1827.454</v>
      </c>
      <c r="R37" s="14">
        <v>1849.5889999999999</v>
      </c>
      <c r="S37" s="14">
        <v>1770.8340000000001</v>
      </c>
      <c r="T37" s="14">
        <v>1791.338</v>
      </c>
      <c r="U37" s="14">
        <v>1621.2149999999999</v>
      </c>
      <c r="V37" s="14">
        <v>1394.9459999999999</v>
      </c>
      <c r="W37" s="14">
        <v>1525.4359999999999</v>
      </c>
      <c r="X37" s="14">
        <v>1475.144</v>
      </c>
      <c r="Y37" s="14">
        <v>1260</v>
      </c>
      <c r="Z37" s="14">
        <v>1101</v>
      </c>
      <c r="AA37" s="14">
        <v>967</v>
      </c>
      <c r="AB37" s="14">
        <v>737.60799999999995</v>
      </c>
      <c r="AC37" s="14">
        <v>593.88699999999994</v>
      </c>
      <c r="AD37" s="14">
        <v>532.49300000000005</v>
      </c>
      <c r="AE37" s="14">
        <v>495.95499999999998</v>
      </c>
      <c r="AF37" s="14">
        <v>453.94299999999998</v>
      </c>
    </row>
    <row r="38" spans="1:32" ht="15" customHeight="1" outlineLevel="1">
      <c r="A38" s="15" t="s">
        <v>263</v>
      </c>
      <c r="B38" s="16">
        <v>553</v>
      </c>
      <c r="C38" s="16">
        <v>587</v>
      </c>
      <c r="D38" s="16">
        <v>610</v>
      </c>
      <c r="E38" s="16">
        <v>515.23099999999999</v>
      </c>
      <c r="F38" s="16">
        <v>388.005</v>
      </c>
      <c r="G38" s="16">
        <v>60.518999999999998</v>
      </c>
      <c r="H38" s="16">
        <v>77.909000000000006</v>
      </c>
      <c r="I38" s="16">
        <v>331.565</v>
      </c>
      <c r="J38" s="16">
        <v>525.45799999999997</v>
      </c>
      <c r="K38" s="16">
        <v>623.72699999999998</v>
      </c>
      <c r="L38" s="16">
        <v>483.38499999999999</v>
      </c>
      <c r="M38" s="16">
        <v>321.37400000000002</v>
      </c>
      <c r="N38" s="16">
        <v>544.09100000000001</v>
      </c>
      <c r="O38" s="16">
        <v>555.02800000000002</v>
      </c>
      <c r="P38" s="16">
        <v>662.41700000000003</v>
      </c>
      <c r="Q38" s="16">
        <v>675.42399999999998</v>
      </c>
      <c r="R38" s="16">
        <v>669.60599999999999</v>
      </c>
      <c r="S38" s="16">
        <v>714.88599999999997</v>
      </c>
      <c r="T38" s="16">
        <v>685.18700000000001</v>
      </c>
      <c r="U38" s="16">
        <v>620.13900000000001</v>
      </c>
      <c r="V38" s="16">
        <v>548.90599999999995</v>
      </c>
      <c r="W38" s="16">
        <v>563.97900000000004</v>
      </c>
      <c r="X38" s="16">
        <v>567.92999999999995</v>
      </c>
      <c r="Y38" s="16">
        <v>482</v>
      </c>
      <c r="Z38" s="16">
        <v>421</v>
      </c>
      <c r="AA38" s="16">
        <v>370</v>
      </c>
      <c r="AB38" s="16">
        <v>283.97899999999998</v>
      </c>
      <c r="AC38" s="16">
        <v>231.61600000000001</v>
      </c>
      <c r="AD38" s="16">
        <v>207.672</v>
      </c>
      <c r="AE38" s="16">
        <v>193.422</v>
      </c>
      <c r="AF38" s="16">
        <v>177.03800000000001</v>
      </c>
    </row>
    <row r="39" spans="1:32" ht="15" customHeight="1" outlineLevel="2">
      <c r="A39" s="17" t="s">
        <v>264</v>
      </c>
      <c r="B39" s="21"/>
      <c r="C39" s="18">
        <v>602</v>
      </c>
      <c r="D39" s="18">
        <v>584</v>
      </c>
      <c r="E39" s="18">
        <v>531.66499999999996</v>
      </c>
      <c r="F39" s="18">
        <v>452.459</v>
      </c>
      <c r="G39" s="18">
        <v>218.38300000000001</v>
      </c>
      <c r="H39" s="18">
        <v>269.226</v>
      </c>
      <c r="I39" s="18">
        <v>458.28399999999999</v>
      </c>
      <c r="J39" s="18">
        <v>337.55</v>
      </c>
      <c r="K39" s="18">
        <v>675.57299999999998</v>
      </c>
      <c r="L39" s="18">
        <v>385.18299999999999</v>
      </c>
      <c r="M39" s="18">
        <v>327.63900000000001</v>
      </c>
      <c r="N39" s="18">
        <v>574.76</v>
      </c>
      <c r="O39" s="18">
        <v>582.88900000000001</v>
      </c>
      <c r="P39" s="18">
        <v>840.745</v>
      </c>
      <c r="Q39" s="18">
        <v>840.173</v>
      </c>
      <c r="R39" s="18">
        <v>791.12</v>
      </c>
      <c r="S39" s="18">
        <v>1010.595</v>
      </c>
      <c r="T39" s="18">
        <v>664.17100000000005</v>
      </c>
      <c r="U39" s="18">
        <v>539.99699999999996</v>
      </c>
      <c r="V39" s="18">
        <v>486.642</v>
      </c>
      <c r="W39" s="18">
        <v>485.49900000000002</v>
      </c>
      <c r="X39" s="18">
        <v>94.173000000000002</v>
      </c>
      <c r="Y39" s="18">
        <v>1</v>
      </c>
      <c r="Z39" s="18">
        <v>158</v>
      </c>
      <c r="AA39" s="18">
        <v>364</v>
      </c>
      <c r="AB39" s="18">
        <v>283.97899999999998</v>
      </c>
      <c r="AC39" s="18">
        <v>231.61600000000001</v>
      </c>
      <c r="AD39" s="18">
        <v>207.672</v>
      </c>
      <c r="AE39" s="18">
        <v>193.422</v>
      </c>
      <c r="AF39" s="18">
        <v>177.03800000000001</v>
      </c>
    </row>
    <row r="40" spans="1:32" ht="15" customHeight="1" outlineLevel="2">
      <c r="A40" s="29" t="s">
        <v>384</v>
      </c>
      <c r="B40" s="23"/>
      <c r="C40" s="24">
        <v>0</v>
      </c>
      <c r="D40" s="24">
        <v>0</v>
      </c>
      <c r="E40" s="24">
        <v>0</v>
      </c>
      <c r="F40" s="24">
        <v>0</v>
      </c>
      <c r="G40" s="24">
        <v>0</v>
      </c>
      <c r="H40" s="24">
        <v>0</v>
      </c>
      <c r="I40" s="24">
        <v>0</v>
      </c>
      <c r="J40" s="24">
        <v>0</v>
      </c>
      <c r="K40" s="24">
        <v>0</v>
      </c>
      <c r="L40" s="24">
        <v>0</v>
      </c>
      <c r="M40" s="24">
        <v>0</v>
      </c>
      <c r="N40" s="24">
        <v>0</v>
      </c>
      <c r="O40" s="24">
        <v>0</v>
      </c>
      <c r="P40" s="24">
        <v>0</v>
      </c>
      <c r="Q40" s="24">
        <v>0</v>
      </c>
      <c r="R40" s="24">
        <v>0</v>
      </c>
      <c r="S40" s="24">
        <v>0</v>
      </c>
      <c r="T40" s="24">
        <v>21.015999999999998</v>
      </c>
      <c r="U40" s="24">
        <v>80.141999999999996</v>
      </c>
      <c r="V40" s="24">
        <v>62.264000000000003</v>
      </c>
      <c r="W40" s="24">
        <v>78.48</v>
      </c>
      <c r="X40" s="24">
        <v>0</v>
      </c>
      <c r="Y40" s="24">
        <v>0</v>
      </c>
      <c r="Z40" s="24">
        <v>0</v>
      </c>
      <c r="AA40" s="24">
        <v>0</v>
      </c>
      <c r="AB40" s="24">
        <v>0</v>
      </c>
      <c r="AC40" s="24">
        <v>0</v>
      </c>
      <c r="AD40" s="24">
        <v>0</v>
      </c>
      <c r="AE40" s="24">
        <v>0</v>
      </c>
      <c r="AF40" s="24">
        <v>0</v>
      </c>
    </row>
    <row r="41" spans="1:32" ht="15" customHeight="1" outlineLevel="2">
      <c r="A41" s="17" t="s">
        <v>265</v>
      </c>
      <c r="B41" s="21"/>
      <c r="C41" s="28">
        <v>-15</v>
      </c>
      <c r="D41" s="18">
        <v>26</v>
      </c>
      <c r="E41" s="28">
        <v>-16.434000000000001</v>
      </c>
      <c r="F41" s="28">
        <v>-64.453999999999994</v>
      </c>
      <c r="G41" s="28">
        <v>-157.864</v>
      </c>
      <c r="H41" s="28">
        <v>-191.31700000000001</v>
      </c>
      <c r="I41" s="28">
        <v>-126.71899999999999</v>
      </c>
      <c r="J41" s="18">
        <v>187.90799999999999</v>
      </c>
      <c r="K41" s="28">
        <v>-51.845999999999997</v>
      </c>
      <c r="L41" s="18">
        <v>98.201999999999998</v>
      </c>
      <c r="M41" s="28">
        <v>-6.2649999999999997</v>
      </c>
      <c r="N41" s="28">
        <v>-30.669</v>
      </c>
      <c r="O41" s="28">
        <v>-27.861000000000001</v>
      </c>
      <c r="P41" s="28">
        <v>-178.328</v>
      </c>
      <c r="Q41" s="28">
        <v>-164.749</v>
      </c>
      <c r="R41" s="28">
        <v>-121.514</v>
      </c>
      <c r="S41" s="28">
        <v>-295.709</v>
      </c>
      <c r="T41" s="18">
        <v>0</v>
      </c>
      <c r="U41" s="18">
        <v>0</v>
      </c>
      <c r="V41" s="18">
        <v>0</v>
      </c>
      <c r="W41" s="18">
        <v>0</v>
      </c>
      <c r="X41" s="18">
        <v>473.75700000000001</v>
      </c>
      <c r="Y41" s="18">
        <v>481</v>
      </c>
      <c r="Z41" s="18">
        <v>263</v>
      </c>
      <c r="AA41" s="18">
        <v>6</v>
      </c>
      <c r="AB41" s="21"/>
      <c r="AC41" s="21"/>
      <c r="AD41" s="21"/>
      <c r="AE41" s="21"/>
      <c r="AF41" s="21"/>
    </row>
    <row r="42" spans="1:32" ht="15" customHeight="1">
      <c r="A42" s="23" t="s">
        <v>266</v>
      </c>
      <c r="B42" s="24">
        <v>1797</v>
      </c>
      <c r="C42" s="24">
        <v>1828</v>
      </c>
      <c r="D42" s="24">
        <v>1955</v>
      </c>
      <c r="E42" s="24">
        <v>1770.124</v>
      </c>
      <c r="F42" s="24">
        <v>1358.768</v>
      </c>
      <c r="G42" s="24">
        <v>524.20899999999995</v>
      </c>
      <c r="H42" s="24">
        <v>215.47499999999999</v>
      </c>
      <c r="I42" s="24">
        <v>1674.271</v>
      </c>
      <c r="J42" s="24">
        <v>1430.7660000000001</v>
      </c>
      <c r="K42" s="24">
        <v>1142.5029999999999</v>
      </c>
      <c r="L42" s="24">
        <v>949.62199999999996</v>
      </c>
      <c r="M42" s="24">
        <v>686.77300000000002</v>
      </c>
      <c r="N42" s="24">
        <v>931.53300000000002</v>
      </c>
      <c r="O42" s="24">
        <v>992.42700000000002</v>
      </c>
      <c r="P42" s="24">
        <v>1121.585</v>
      </c>
      <c r="Q42" s="24">
        <v>1152.03</v>
      </c>
      <c r="R42" s="24">
        <v>1179.9829999999999</v>
      </c>
      <c r="S42" s="24">
        <v>1055.9480000000001</v>
      </c>
      <c r="T42" s="24">
        <v>1106.1510000000001</v>
      </c>
      <c r="U42" s="24">
        <v>1001.076</v>
      </c>
      <c r="V42" s="24">
        <v>846.04</v>
      </c>
      <c r="W42" s="24">
        <v>961.45699999999999</v>
      </c>
      <c r="X42" s="24">
        <v>907.21400000000006</v>
      </c>
      <c r="Y42" s="24">
        <v>778</v>
      </c>
      <c r="Z42" s="24">
        <v>680</v>
      </c>
      <c r="AA42" s="24">
        <v>597</v>
      </c>
      <c r="AB42" s="24">
        <v>453.62900000000002</v>
      </c>
      <c r="AC42" s="24">
        <v>362.27100000000002</v>
      </c>
      <c r="AD42" s="24">
        <v>324.82100000000003</v>
      </c>
      <c r="AE42" s="24">
        <v>302.53300000000002</v>
      </c>
      <c r="AF42" s="24">
        <v>276.90499999999997</v>
      </c>
    </row>
    <row r="43" spans="1:32" ht="15" customHeight="1">
      <c r="A43" s="13" t="s">
        <v>31</v>
      </c>
      <c r="B43" s="14">
        <v>1797</v>
      </c>
      <c r="C43" s="14">
        <v>1828</v>
      </c>
      <c r="D43" s="14">
        <v>1955</v>
      </c>
      <c r="E43" s="14">
        <v>1770.124</v>
      </c>
      <c r="F43" s="14">
        <v>1358.768</v>
      </c>
      <c r="G43" s="14">
        <v>524.20899999999995</v>
      </c>
      <c r="H43" s="14">
        <v>215.47499999999999</v>
      </c>
      <c r="I43" s="14">
        <v>1674.271</v>
      </c>
      <c r="J43" s="14">
        <v>1430.7660000000001</v>
      </c>
      <c r="K43" s="14">
        <v>1142.5029999999999</v>
      </c>
      <c r="L43" s="14">
        <v>949.62199999999996</v>
      </c>
      <c r="M43" s="14">
        <v>686.77300000000002</v>
      </c>
      <c r="N43" s="14">
        <v>931.53300000000002</v>
      </c>
      <c r="O43" s="14">
        <v>992.42700000000002</v>
      </c>
      <c r="P43" s="14">
        <v>1121.585</v>
      </c>
      <c r="Q43" s="14">
        <v>1152.03</v>
      </c>
      <c r="R43" s="14">
        <v>1179.9829999999999</v>
      </c>
      <c r="S43" s="14">
        <v>1055.9480000000001</v>
      </c>
      <c r="T43" s="14">
        <v>1106.1510000000001</v>
      </c>
      <c r="U43" s="14">
        <v>1001.076</v>
      </c>
      <c r="V43" s="14">
        <v>846.04</v>
      </c>
      <c r="W43" s="14">
        <v>961.45699999999999</v>
      </c>
      <c r="X43" s="14">
        <v>907.21400000000006</v>
      </c>
      <c r="Y43" s="14">
        <v>778</v>
      </c>
      <c r="Z43" s="14">
        <v>680</v>
      </c>
      <c r="AA43" s="14">
        <v>597</v>
      </c>
      <c r="AB43" s="14">
        <v>453.62900000000002</v>
      </c>
      <c r="AC43" s="14">
        <v>362.27100000000002</v>
      </c>
      <c r="AD43" s="14">
        <v>324.82100000000003</v>
      </c>
      <c r="AE43" s="14">
        <v>302.53300000000002</v>
      </c>
      <c r="AF43" s="14">
        <v>276.90499999999997</v>
      </c>
    </row>
    <row r="44" spans="1:32" ht="15" customHeight="1" outlineLevel="1">
      <c r="A44" s="26" t="s">
        <v>267</v>
      </c>
      <c r="B44" s="24">
        <v>1797</v>
      </c>
      <c r="C44" s="24">
        <v>1828</v>
      </c>
      <c r="D44" s="24">
        <v>1955</v>
      </c>
      <c r="E44" s="24">
        <v>1770.124</v>
      </c>
      <c r="F44" s="24">
        <v>1358.768</v>
      </c>
      <c r="G44" s="24">
        <v>524.20899999999995</v>
      </c>
      <c r="H44" s="24">
        <v>215.47499999999999</v>
      </c>
      <c r="I44" s="24">
        <v>1674.271</v>
      </c>
      <c r="J44" s="24">
        <v>1430.7660000000001</v>
      </c>
      <c r="K44" s="24">
        <v>1142.5029999999999</v>
      </c>
      <c r="L44" s="24">
        <v>949.62199999999996</v>
      </c>
      <c r="M44" s="24">
        <v>686.77300000000002</v>
      </c>
      <c r="N44" s="24">
        <v>931.53300000000002</v>
      </c>
      <c r="O44" s="24">
        <v>992.42700000000002</v>
      </c>
      <c r="P44" s="24">
        <v>1121.585</v>
      </c>
      <c r="Q44" s="24">
        <v>1152.03</v>
      </c>
      <c r="R44" s="24">
        <v>1179.9829999999999</v>
      </c>
      <c r="S44" s="24">
        <v>1055.9480000000001</v>
      </c>
      <c r="T44" s="24">
        <v>1106.1510000000001</v>
      </c>
      <c r="U44" s="24">
        <v>1001.076</v>
      </c>
      <c r="V44" s="24">
        <v>846.04</v>
      </c>
      <c r="W44" s="24">
        <v>961.45699999999999</v>
      </c>
      <c r="X44" s="24">
        <v>907.21400000000006</v>
      </c>
      <c r="Y44" s="24">
        <v>778</v>
      </c>
      <c r="Z44" s="24">
        <v>680</v>
      </c>
      <c r="AA44" s="24">
        <v>597</v>
      </c>
      <c r="AB44" s="24">
        <v>453.62900000000002</v>
      </c>
      <c r="AC44" s="24">
        <v>362.27100000000002</v>
      </c>
      <c r="AD44" s="24">
        <v>324.82100000000003</v>
      </c>
      <c r="AE44" s="24">
        <v>302.53300000000002</v>
      </c>
      <c r="AF44" s="24">
        <v>276.90499999999997</v>
      </c>
    </row>
    <row r="45" spans="1:32" ht="15" customHeight="1">
      <c r="A45" s="13" t="s">
        <v>268</v>
      </c>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row>
    <row r="46" spans="1:32" ht="15" customHeight="1" outlineLevel="1">
      <c r="A46" s="26" t="s">
        <v>269</v>
      </c>
      <c r="B46" s="31">
        <v>4.440537</v>
      </c>
      <c r="C46" s="31">
        <v>4.4121819999999996</v>
      </c>
      <c r="D46" s="31">
        <v>4.2991789999999996</v>
      </c>
      <c r="E46" s="31">
        <v>3.594624</v>
      </c>
      <c r="F46" s="31">
        <v>3.0310480000000002</v>
      </c>
      <c r="G46" s="31">
        <v>1.6982809999999999</v>
      </c>
      <c r="H46" s="31">
        <v>1.5136350000000001</v>
      </c>
      <c r="I46" s="31">
        <v>3.52813</v>
      </c>
      <c r="J46" s="31">
        <v>2.917154</v>
      </c>
      <c r="K46" s="31">
        <v>2.2859440000000002</v>
      </c>
      <c r="L46" s="31">
        <v>1.927308</v>
      </c>
      <c r="M46" s="31">
        <v>1.946931</v>
      </c>
      <c r="N46" s="31">
        <v>1.7413749999999999</v>
      </c>
      <c r="O46" s="31">
        <v>2.1227290000000001</v>
      </c>
      <c r="P46" s="31">
        <v>2.1284070000000002</v>
      </c>
      <c r="Q46" s="31">
        <v>1.9462010000000001</v>
      </c>
      <c r="R46" s="31">
        <v>1.9754259999999999</v>
      </c>
      <c r="S46" s="31">
        <v>1.7715190000000001</v>
      </c>
      <c r="T46" s="31">
        <v>1.810481</v>
      </c>
      <c r="U46" s="31">
        <v>1.5982259999999999</v>
      </c>
      <c r="V46" s="31">
        <v>1.3454820000000001</v>
      </c>
      <c r="W46" s="31">
        <v>1.4720150000000001</v>
      </c>
      <c r="X46" s="31">
        <v>1.370581</v>
      </c>
      <c r="Y46" s="31">
        <v>1.1760520000000001</v>
      </c>
      <c r="Z46" s="31">
        <v>1.0097320000000001</v>
      </c>
      <c r="AA46" s="31">
        <v>0.88059699999999996</v>
      </c>
      <c r="AB46" s="31">
        <v>0.67750699999999997</v>
      </c>
      <c r="AC46" s="31">
        <v>0.53781900000000005</v>
      </c>
      <c r="AD46" s="31">
        <v>0.47289300000000001</v>
      </c>
      <c r="AE46" s="31">
        <v>0.42674000000000001</v>
      </c>
      <c r="AF46" s="31">
        <v>0.37911600000000001</v>
      </c>
    </row>
    <row r="47" spans="1:32" ht="15" customHeight="1" outlineLevel="1">
      <c r="A47" s="30" t="s">
        <v>270</v>
      </c>
      <c r="B47" s="32">
        <v>3.7292000000000001</v>
      </c>
      <c r="C47" s="32">
        <v>3.7448000000000001</v>
      </c>
      <c r="D47" s="32">
        <v>3.9003000000000001</v>
      </c>
      <c r="E47" s="32">
        <v>3.4889000000000001</v>
      </c>
      <c r="F47" s="32">
        <v>2.661</v>
      </c>
      <c r="G47" s="32">
        <v>1.0265</v>
      </c>
      <c r="H47" s="32">
        <v>0.42</v>
      </c>
      <c r="I47" s="32">
        <v>3.24</v>
      </c>
      <c r="J47" s="32">
        <v>2.74</v>
      </c>
      <c r="K47" s="32">
        <v>2.1</v>
      </c>
      <c r="L47" s="32">
        <v>1.66</v>
      </c>
      <c r="M47" s="32">
        <v>1.1599999999999999</v>
      </c>
      <c r="N47" s="32">
        <v>1.59</v>
      </c>
      <c r="O47" s="32">
        <v>1.68</v>
      </c>
      <c r="P47" s="32">
        <v>1.91</v>
      </c>
      <c r="Q47" s="32">
        <v>1.96</v>
      </c>
      <c r="R47" s="32">
        <v>1.99</v>
      </c>
      <c r="S47" s="32">
        <v>1.77</v>
      </c>
      <c r="T47" s="32">
        <v>1.83</v>
      </c>
      <c r="U47" s="32">
        <v>1.62</v>
      </c>
      <c r="V47" s="32">
        <v>1.36</v>
      </c>
      <c r="W47" s="32">
        <v>1.51</v>
      </c>
      <c r="X47" s="32">
        <v>1.41</v>
      </c>
      <c r="Y47" s="32">
        <v>1.2</v>
      </c>
      <c r="Z47" s="32">
        <v>1.03</v>
      </c>
      <c r="AA47" s="32">
        <v>0.9</v>
      </c>
      <c r="AB47" s="32">
        <v>0.34</v>
      </c>
      <c r="AC47" s="32">
        <v>0.6</v>
      </c>
      <c r="AD47" s="32">
        <v>0.5</v>
      </c>
      <c r="AE47" s="32">
        <v>0.42749999999999999</v>
      </c>
      <c r="AF47" s="32">
        <v>0.38</v>
      </c>
    </row>
    <row r="48" spans="1:32" ht="15" customHeight="1" outlineLevel="2">
      <c r="A48" s="29" t="s">
        <v>271</v>
      </c>
      <c r="B48" s="31">
        <v>479.34630299999998</v>
      </c>
      <c r="C48" s="31">
        <v>488.14433300000002</v>
      </c>
      <c r="D48" s="31">
        <v>501.23842200000001</v>
      </c>
      <c r="E48" s="31">
        <v>507.36291299999999</v>
      </c>
      <c r="F48" s="31">
        <v>510.63064500000002</v>
      </c>
      <c r="G48" s="31">
        <v>510.69639799999999</v>
      </c>
      <c r="H48" s="31">
        <v>510.12107099999997</v>
      </c>
      <c r="I48" s="31">
        <v>516.890581</v>
      </c>
      <c r="J48" s="31">
        <v>522.92691400000001</v>
      </c>
      <c r="K48" s="31">
        <v>543.49681599999997</v>
      </c>
      <c r="L48" s="31">
        <v>573.05740600000001</v>
      </c>
      <c r="M48" s="31">
        <v>592.07230800000002</v>
      </c>
      <c r="N48" s="31">
        <v>585.98808399999996</v>
      </c>
      <c r="O48" s="31">
        <v>589.39780699999994</v>
      </c>
      <c r="P48" s="31">
        <v>587.72634300000004</v>
      </c>
      <c r="Q48" s="31">
        <v>586.52614200000005</v>
      </c>
      <c r="R48" s="31">
        <v>592.15722100000005</v>
      </c>
      <c r="S48" s="31">
        <v>595.12757699999997</v>
      </c>
      <c r="T48" s="31">
        <v>605.90554499999996</v>
      </c>
      <c r="U48" s="31">
        <v>618.33275200000003</v>
      </c>
      <c r="V48" s="31">
        <v>621.38276599999995</v>
      </c>
      <c r="W48" s="31">
        <v>636.06826599999999</v>
      </c>
      <c r="X48" s="31">
        <v>642.68861400000003</v>
      </c>
      <c r="Y48" s="31">
        <v>650.60065199999997</v>
      </c>
      <c r="Z48" s="31">
        <v>661.80843200000004</v>
      </c>
      <c r="AA48" s="31">
        <v>665.55122800000004</v>
      </c>
      <c r="AB48" s="31">
        <v>659.16494799999998</v>
      </c>
      <c r="AC48" s="31">
        <v>665.82709199999999</v>
      </c>
      <c r="AD48" s="31">
        <v>680.76095399999997</v>
      </c>
      <c r="AE48" s="31">
        <v>708.94033999999999</v>
      </c>
      <c r="AF48" s="31">
        <v>730.39558799999998</v>
      </c>
    </row>
    <row r="49" spans="1:32" ht="15" customHeight="1" outlineLevel="2">
      <c r="A49" s="17" t="s">
        <v>272</v>
      </c>
      <c r="B49" s="33">
        <v>478.9271</v>
      </c>
      <c r="C49" s="33">
        <v>477.496242</v>
      </c>
      <c r="D49" s="33">
        <v>491.75821500000001</v>
      </c>
      <c r="E49" s="33">
        <v>505.11206600000003</v>
      </c>
      <c r="F49" s="33">
        <v>508.64335699999998</v>
      </c>
      <c r="G49" s="33">
        <v>511.35788700000001</v>
      </c>
      <c r="H49" s="33">
        <v>508.259075</v>
      </c>
      <c r="I49" s="33">
        <v>512.87697400000002</v>
      </c>
      <c r="J49" s="33">
        <v>520.64165200000002</v>
      </c>
      <c r="K49" s="33">
        <v>530.03920100000005</v>
      </c>
      <c r="L49" s="33">
        <v>559.59741599999995</v>
      </c>
      <c r="M49" s="33">
        <v>594.31766900000002</v>
      </c>
      <c r="N49" s="33">
        <v>586.12471400000004</v>
      </c>
      <c r="O49" s="33">
        <v>586.10646999999994</v>
      </c>
      <c r="P49" s="33">
        <v>585.94651699999997</v>
      </c>
      <c r="Q49" s="33">
        <v>591.57755399999996</v>
      </c>
      <c r="R49" s="33">
        <v>588.40610500000003</v>
      </c>
      <c r="S49" s="33">
        <v>590.02649699999995</v>
      </c>
      <c r="T49" s="33">
        <v>601.23254199999997</v>
      </c>
      <c r="U49" s="33">
        <v>611.84037699999999</v>
      </c>
      <c r="V49" s="33">
        <v>618.89558</v>
      </c>
      <c r="W49" s="33">
        <v>628.56753000000003</v>
      </c>
      <c r="X49" s="33">
        <v>636.535031</v>
      </c>
      <c r="Y49" s="33">
        <v>643.65757499999995</v>
      </c>
      <c r="Z49" s="33">
        <v>653.54029700000001</v>
      </c>
      <c r="AA49" s="33">
        <v>665.13766399999997</v>
      </c>
      <c r="AB49" s="33">
        <v>662.96957399999997</v>
      </c>
      <c r="AC49" s="33">
        <v>659.34477000000004</v>
      </c>
      <c r="AD49" s="33">
        <v>670.01832400000001</v>
      </c>
      <c r="AE49" s="33">
        <v>689.75306799999998</v>
      </c>
      <c r="AF49" s="33">
        <v>721.65122399999996</v>
      </c>
    </row>
    <row r="50" spans="1:32" ht="15" customHeight="1" outlineLevel="1">
      <c r="A50" s="15" t="s">
        <v>273</v>
      </c>
      <c r="B50" s="34">
        <v>3.7181999999999999</v>
      </c>
      <c r="C50" s="34">
        <v>3.7319</v>
      </c>
      <c r="D50" s="34">
        <v>3.8858999999999999</v>
      </c>
      <c r="E50" s="34">
        <v>3.4727000000000001</v>
      </c>
      <c r="F50" s="34">
        <v>2.6435</v>
      </c>
      <c r="G50" s="34">
        <v>1.0207999999999999</v>
      </c>
      <c r="H50" s="34">
        <v>0.42</v>
      </c>
      <c r="I50" s="34">
        <v>3.2</v>
      </c>
      <c r="J50" s="34">
        <v>2.7</v>
      </c>
      <c r="K50" s="34">
        <v>2.08</v>
      </c>
      <c r="L50" s="34">
        <v>1.64</v>
      </c>
      <c r="M50" s="34">
        <v>1.1499999999999999</v>
      </c>
      <c r="N50" s="34">
        <v>1.58</v>
      </c>
      <c r="O50" s="34">
        <v>1.67</v>
      </c>
      <c r="P50" s="34">
        <v>1.9</v>
      </c>
      <c r="Q50" s="34">
        <v>1.96</v>
      </c>
      <c r="R50" s="34">
        <v>1.99</v>
      </c>
      <c r="S50" s="34">
        <v>1.77</v>
      </c>
      <c r="T50" s="34">
        <v>1.81</v>
      </c>
      <c r="U50" s="34">
        <v>1.6</v>
      </c>
      <c r="V50" s="34">
        <v>1.35</v>
      </c>
      <c r="W50" s="34">
        <v>1.47</v>
      </c>
      <c r="X50" s="34">
        <v>1.37</v>
      </c>
      <c r="Y50" s="34">
        <v>1.18</v>
      </c>
      <c r="Z50" s="34">
        <v>1.01</v>
      </c>
      <c r="AA50" s="34">
        <v>0.88</v>
      </c>
      <c r="AB50" s="34">
        <v>0.33500000000000002</v>
      </c>
      <c r="AC50" s="34">
        <v>0.54</v>
      </c>
      <c r="AD50" s="34">
        <v>0.47749999999999998</v>
      </c>
      <c r="AE50" s="34">
        <v>0.42749999999999999</v>
      </c>
      <c r="AF50" s="34">
        <v>0.38</v>
      </c>
    </row>
    <row r="51" spans="1:32" ht="15" customHeight="1" outlineLevel="2">
      <c r="A51" s="17" t="s">
        <v>274</v>
      </c>
      <c r="B51" s="33">
        <v>480.66262699999999</v>
      </c>
      <c r="C51" s="33">
        <v>489.825648</v>
      </c>
      <c r="D51" s="33">
        <v>503.09608600000001</v>
      </c>
      <c r="E51" s="33">
        <v>509.71975600000002</v>
      </c>
      <c r="F51" s="33">
        <v>514.00582699999995</v>
      </c>
      <c r="G51" s="33">
        <v>513.55508799999996</v>
      </c>
      <c r="H51" s="33">
        <v>514.02597400000002</v>
      </c>
      <c r="I51" s="33">
        <v>523.381124</v>
      </c>
      <c r="J51" s="33">
        <v>529.08985399999995</v>
      </c>
      <c r="K51" s="33">
        <v>548.545027</v>
      </c>
      <c r="L51" s="33">
        <v>577.39140599999996</v>
      </c>
      <c r="M51" s="33">
        <v>596.84903399999996</v>
      </c>
      <c r="N51" s="33">
        <v>590.21622000000002</v>
      </c>
      <c r="O51" s="33">
        <v>592.67511000000002</v>
      </c>
      <c r="P51" s="33">
        <v>588.99144100000001</v>
      </c>
      <c r="Q51" s="33">
        <v>588.69154600000002</v>
      </c>
      <c r="R51" s="33">
        <v>593.59004200000004</v>
      </c>
      <c r="S51" s="33">
        <v>596.06920400000001</v>
      </c>
      <c r="T51" s="33">
        <v>610.97078299999998</v>
      </c>
      <c r="U51" s="33">
        <v>626.36679800000002</v>
      </c>
      <c r="V51" s="33">
        <v>628.80064700000003</v>
      </c>
      <c r="W51" s="33">
        <v>653.15711699999997</v>
      </c>
      <c r="X51" s="33">
        <v>661.91923399999996</v>
      </c>
      <c r="Y51" s="33">
        <v>661.53538200000003</v>
      </c>
      <c r="Z51" s="33">
        <v>673.44578300000001</v>
      </c>
      <c r="AA51" s="33">
        <v>677.94935099999998</v>
      </c>
      <c r="AB51" s="33">
        <v>669.55585599999995</v>
      </c>
      <c r="AC51" s="33">
        <v>673.59333800000002</v>
      </c>
      <c r="AD51" s="33">
        <v>686.88036199999999</v>
      </c>
      <c r="AE51" s="33">
        <v>708.94033999999999</v>
      </c>
      <c r="AF51" s="33">
        <v>730.39558799999998</v>
      </c>
    </row>
    <row r="52" spans="1:32" ht="15" customHeight="1" outlineLevel="2">
      <c r="A52" s="29" t="s">
        <v>272</v>
      </c>
      <c r="B52" s="31">
        <v>478.9271</v>
      </c>
      <c r="C52" s="31">
        <v>477.496242</v>
      </c>
      <c r="D52" s="31">
        <v>491.75821500000001</v>
      </c>
      <c r="E52" s="31">
        <v>505.11206600000003</v>
      </c>
      <c r="F52" s="31">
        <v>508.64335699999998</v>
      </c>
      <c r="G52" s="31">
        <v>511.35788700000001</v>
      </c>
      <c r="H52" s="31">
        <v>508.259075</v>
      </c>
      <c r="I52" s="31">
        <v>512.87697400000002</v>
      </c>
      <c r="J52" s="31">
        <v>520.64165200000002</v>
      </c>
      <c r="K52" s="31">
        <v>530.03920100000005</v>
      </c>
      <c r="L52" s="31">
        <v>559.59741599999995</v>
      </c>
      <c r="M52" s="31">
        <v>594.31766900000002</v>
      </c>
      <c r="N52" s="31">
        <v>586.12471400000004</v>
      </c>
      <c r="O52" s="31">
        <v>586.10646999999994</v>
      </c>
      <c r="P52" s="31">
        <v>585.94651699999997</v>
      </c>
      <c r="Q52" s="31">
        <v>591.57755399999996</v>
      </c>
      <c r="R52" s="31">
        <v>588.40610500000003</v>
      </c>
      <c r="S52" s="31">
        <v>590.02649699999995</v>
      </c>
      <c r="T52" s="31">
        <v>601.23254199999997</v>
      </c>
      <c r="U52" s="31">
        <v>611.84037699999999</v>
      </c>
      <c r="V52" s="31">
        <v>618.89558</v>
      </c>
      <c r="W52" s="31">
        <v>628.56753000000003</v>
      </c>
      <c r="X52" s="31">
        <v>636.535031</v>
      </c>
      <c r="Y52" s="31">
        <v>643.65757499999995</v>
      </c>
      <c r="Z52" s="31">
        <v>653.54029700000001</v>
      </c>
      <c r="AA52" s="31">
        <v>665.13766399999997</v>
      </c>
      <c r="AB52" s="31">
        <v>662.96957399999997</v>
      </c>
      <c r="AC52" s="31">
        <v>659.34477000000004</v>
      </c>
      <c r="AD52" s="31">
        <v>670.01832400000001</v>
      </c>
      <c r="AE52" s="31">
        <v>689.75306799999998</v>
      </c>
      <c r="AF52" s="31">
        <v>721.65122399999996</v>
      </c>
    </row>
    <row r="53" spans="1:32" ht="15" customHeight="1" outlineLevel="1">
      <c r="A53" s="35" t="s">
        <v>275</v>
      </c>
      <c r="B53" s="21"/>
      <c r="C53" s="33">
        <v>90.015000000000001</v>
      </c>
      <c r="D53" s="33">
        <v>84.370999999999995</v>
      </c>
      <c r="E53" s="33">
        <v>90.736999999999995</v>
      </c>
      <c r="F53" s="33">
        <v>81.757000000000005</v>
      </c>
      <c r="G53" s="33">
        <v>88.248999999999995</v>
      </c>
      <c r="H53" s="33">
        <v>90.944000000000003</v>
      </c>
      <c r="I53" s="33">
        <v>95.903999999999996</v>
      </c>
      <c r="J53" s="33">
        <v>90.573999999999998</v>
      </c>
      <c r="K53" s="33">
        <v>72.266999999999996</v>
      </c>
      <c r="L53" s="33">
        <v>88.256</v>
      </c>
      <c r="M53" s="33">
        <v>92.561999999999998</v>
      </c>
      <c r="N53" s="33">
        <v>96.603999999999999</v>
      </c>
      <c r="O53" s="33">
        <v>86.665000000000006</v>
      </c>
      <c r="P53" s="33">
        <v>87.209000000000003</v>
      </c>
      <c r="Q53" s="33">
        <v>81.135999999999996</v>
      </c>
      <c r="R53" s="33">
        <v>79.305999999999997</v>
      </c>
      <c r="S53" s="33">
        <v>94.122</v>
      </c>
      <c r="T53" s="33">
        <v>95.483999999999995</v>
      </c>
      <c r="U53" s="33">
        <v>88.691000000000003</v>
      </c>
      <c r="V53" s="33">
        <v>83.451999999999998</v>
      </c>
      <c r="W53" s="33">
        <v>89.462999999999994</v>
      </c>
      <c r="X53" s="33">
        <v>81.195999999999998</v>
      </c>
      <c r="Y53" s="33">
        <v>92.072999999999993</v>
      </c>
      <c r="Z53" s="33">
        <v>88.004000000000005</v>
      </c>
      <c r="AA53" s="33">
        <v>87.287999999999997</v>
      </c>
      <c r="AB53" s="33">
        <v>83.088999999999999</v>
      </c>
      <c r="AC53" s="21"/>
      <c r="AD53" s="21"/>
      <c r="AE53" s="33">
        <v>94.81</v>
      </c>
      <c r="AF53" s="21"/>
    </row>
    <row r="54" spans="1:32" ht="15" customHeight="1" outlineLevel="1">
      <c r="A54" s="57" t="s">
        <v>276</v>
      </c>
      <c r="B54" s="34">
        <v>2.13</v>
      </c>
      <c r="C54" s="34">
        <v>2.0699999999999998</v>
      </c>
      <c r="D54" s="34">
        <v>2.0099999999999998</v>
      </c>
      <c r="E54" s="34">
        <v>1.97</v>
      </c>
      <c r="F54" s="34">
        <v>1.9</v>
      </c>
      <c r="G54" s="34">
        <v>1.82</v>
      </c>
      <c r="H54" s="34">
        <v>1.74</v>
      </c>
      <c r="I54" s="34">
        <v>1.53</v>
      </c>
      <c r="J54" s="34">
        <v>1.41</v>
      </c>
      <c r="K54" s="34">
        <v>1.3</v>
      </c>
      <c r="L54" s="34">
        <v>1.23</v>
      </c>
      <c r="M54" s="34">
        <v>1.19</v>
      </c>
      <c r="N54" s="34">
        <v>1.1499999999999999</v>
      </c>
      <c r="O54" s="34">
        <v>1.1100000000000001</v>
      </c>
      <c r="P54" s="34">
        <v>1.07</v>
      </c>
      <c r="Q54" s="34">
        <v>1.03</v>
      </c>
      <c r="R54" s="34">
        <v>0.99</v>
      </c>
      <c r="S54" s="34">
        <v>0.94</v>
      </c>
      <c r="T54" s="34">
        <v>0.85</v>
      </c>
      <c r="U54" s="34">
        <v>0.74</v>
      </c>
      <c r="V54" s="34">
        <v>0.66</v>
      </c>
      <c r="W54" s="34">
        <v>0.57999999999999996</v>
      </c>
      <c r="X54" s="34">
        <v>0.5</v>
      </c>
      <c r="Y54" s="34">
        <v>0.42</v>
      </c>
      <c r="Z54" s="34">
        <v>0.34</v>
      </c>
      <c r="AA54" s="34">
        <v>0.27</v>
      </c>
      <c r="AB54" s="34">
        <v>0.23</v>
      </c>
      <c r="AC54" s="34">
        <v>0.19500000000000001</v>
      </c>
      <c r="AD54" s="34">
        <v>0.17</v>
      </c>
      <c r="AE54" s="34">
        <v>0.14499999999999999</v>
      </c>
      <c r="AF54" s="34">
        <v>0.125</v>
      </c>
    </row>
    <row r="55" spans="1:32" ht="15" customHeight="1" outlineLevel="2">
      <c r="A55" s="17" t="s">
        <v>277</v>
      </c>
      <c r="B55" s="33">
        <v>57.285783000000002</v>
      </c>
      <c r="C55" s="33">
        <v>55.467723999999997</v>
      </c>
      <c r="D55" s="33">
        <v>51.725468999999997</v>
      </c>
      <c r="E55" s="33">
        <v>56.728194000000002</v>
      </c>
      <c r="F55" s="33">
        <v>71.874409</v>
      </c>
      <c r="G55" s="33">
        <v>178.29153600000001</v>
      </c>
      <c r="H55" s="33">
        <v>414.28571399999998</v>
      </c>
      <c r="I55" s="33">
        <v>47.8125</v>
      </c>
      <c r="J55" s="33">
        <v>52.222222000000002</v>
      </c>
      <c r="K55" s="33">
        <v>62.5</v>
      </c>
      <c r="L55" s="33">
        <v>75</v>
      </c>
      <c r="M55" s="33">
        <v>103.478261</v>
      </c>
      <c r="N55" s="33">
        <v>72.784809999999993</v>
      </c>
      <c r="O55" s="33">
        <v>66.467066000000003</v>
      </c>
      <c r="P55" s="33">
        <v>56.315789000000002</v>
      </c>
      <c r="Q55" s="33">
        <v>52.551020000000001</v>
      </c>
      <c r="R55" s="33">
        <v>49.748744000000002</v>
      </c>
      <c r="S55" s="33">
        <v>53.107345000000002</v>
      </c>
      <c r="T55" s="33">
        <v>46.961326</v>
      </c>
      <c r="U55" s="33">
        <v>46.25</v>
      </c>
      <c r="V55" s="33">
        <v>48.888888999999999</v>
      </c>
      <c r="W55" s="33">
        <v>39.455781999999999</v>
      </c>
      <c r="X55" s="33">
        <v>36.49635</v>
      </c>
      <c r="Y55" s="33">
        <v>35.593220000000002</v>
      </c>
      <c r="Z55" s="33">
        <v>33.663366000000003</v>
      </c>
      <c r="AA55" s="33">
        <v>30.681818</v>
      </c>
      <c r="AB55" s="33">
        <v>33.823529000000001</v>
      </c>
      <c r="AC55" s="33">
        <v>36.111111000000001</v>
      </c>
      <c r="AD55" s="33">
        <v>35.789473999999998</v>
      </c>
      <c r="AE55" s="33">
        <v>33.918129</v>
      </c>
      <c r="AF55" s="33">
        <v>32.894736999999999</v>
      </c>
    </row>
    <row r="56" spans="1:32" ht="15" customHeight="1">
      <c r="A56" s="25" t="s">
        <v>163</v>
      </c>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row>
    <row r="57" spans="1:32" ht="15" customHeight="1" outlineLevel="1">
      <c r="A57" s="30" t="s">
        <v>163</v>
      </c>
      <c r="B57" s="14">
        <v>4560</v>
      </c>
      <c r="C57" s="14">
        <v>4598</v>
      </c>
      <c r="D57" s="14">
        <v>4476</v>
      </c>
      <c r="E57" s="14">
        <v>4030.6039999999998</v>
      </c>
      <c r="F57" s="14">
        <v>3311.451</v>
      </c>
      <c r="G57" s="14">
        <v>2443.5369999999998</v>
      </c>
      <c r="H57" s="14">
        <v>2423.7220000000002</v>
      </c>
      <c r="I57" s="14">
        <v>3241.4609999999998</v>
      </c>
      <c r="J57" s="14">
        <v>3118.797</v>
      </c>
      <c r="K57" s="14">
        <v>3090.6709999999998</v>
      </c>
      <c r="L57" s="14">
        <v>2655.2</v>
      </c>
      <c r="M57" s="14">
        <v>2327.63</v>
      </c>
      <c r="N57" s="14">
        <v>2271.5079999999998</v>
      </c>
      <c r="O57" s="14">
        <v>2547.4609999999998</v>
      </c>
      <c r="P57" s="14">
        <v>2496.252</v>
      </c>
      <c r="Q57" s="14">
        <v>2327.402</v>
      </c>
      <c r="R57" s="14">
        <v>2358.4679999999998</v>
      </c>
      <c r="S57" s="14">
        <v>2249.0189999999998</v>
      </c>
      <c r="T57" s="14">
        <v>2246.3829999999998</v>
      </c>
      <c r="U57" s="14">
        <v>2062.9070000000002</v>
      </c>
      <c r="V57" s="14">
        <v>1826.472</v>
      </c>
      <c r="W57" s="14">
        <v>1895.21</v>
      </c>
      <c r="X57" s="14">
        <v>1816.2539999999999</v>
      </c>
      <c r="Y57" s="14">
        <v>1597.412</v>
      </c>
      <c r="Z57" s="14">
        <v>1439.251</v>
      </c>
      <c r="AA57" s="14">
        <v>1287</v>
      </c>
      <c r="AB57" s="14">
        <v>1030.623</v>
      </c>
      <c r="AC57" s="14">
        <v>872.69399999999996</v>
      </c>
      <c r="AD57" s="14">
        <v>772.202</v>
      </c>
      <c r="AE57" s="14">
        <v>702.58699999999999</v>
      </c>
      <c r="AF57" s="14">
        <v>638.66700000000003</v>
      </c>
    </row>
    <row r="58" spans="1:32" ht="15" customHeight="1" outlineLevel="2">
      <c r="A58" s="29" t="s">
        <v>165</v>
      </c>
      <c r="B58" s="24">
        <v>3470</v>
      </c>
      <c r="C58" s="24">
        <v>3512</v>
      </c>
      <c r="D58" s="24">
        <v>3482</v>
      </c>
      <c r="E58" s="24">
        <v>3141.431</v>
      </c>
      <c r="F58" s="24">
        <v>2429.799</v>
      </c>
      <c r="G58" s="24">
        <v>1591.1310000000001</v>
      </c>
      <c r="H58" s="24">
        <v>1514.846</v>
      </c>
      <c r="I58" s="24">
        <v>2492.5610000000001</v>
      </c>
      <c r="J58" s="24">
        <v>2389.297</v>
      </c>
      <c r="K58" s="24">
        <v>2212.3710000000001</v>
      </c>
      <c r="L58" s="24">
        <v>2009.2</v>
      </c>
      <c r="M58" s="24">
        <v>1791.83</v>
      </c>
      <c r="N58" s="24">
        <v>1735.508</v>
      </c>
      <c r="O58" s="24">
        <v>2041.8610000000001</v>
      </c>
      <c r="P58" s="24">
        <v>2086.4520000000002</v>
      </c>
      <c r="Q58" s="24">
        <v>1931.502</v>
      </c>
      <c r="R58" s="24">
        <v>1975.8679999999999</v>
      </c>
      <c r="S58" s="24">
        <v>1872.211</v>
      </c>
      <c r="T58" s="24">
        <v>1879.9490000000001</v>
      </c>
      <c r="U58" s="24">
        <v>1708.482</v>
      </c>
      <c r="V58" s="24">
        <v>1495.03</v>
      </c>
      <c r="W58" s="24">
        <v>1589.53</v>
      </c>
      <c r="X58" s="24">
        <v>1532.6590000000001</v>
      </c>
      <c r="Y58" s="24">
        <v>1324</v>
      </c>
      <c r="Z58" s="24">
        <v>1161</v>
      </c>
      <c r="AA58" s="24">
        <v>1039</v>
      </c>
      <c r="AB58" s="24">
        <v>809.96199999999999</v>
      </c>
      <c r="AC58" s="24">
        <v>667.68899999999996</v>
      </c>
      <c r="AD58" s="24">
        <v>590.96799999999996</v>
      </c>
      <c r="AE58" s="24">
        <v>542.29499999999996</v>
      </c>
      <c r="AF58" s="24">
        <v>493.95800000000003</v>
      </c>
    </row>
    <row r="59" spans="1:32" ht="15" customHeight="1" outlineLevel="2">
      <c r="A59" s="17" t="s">
        <v>244</v>
      </c>
      <c r="B59" s="18">
        <v>1090</v>
      </c>
      <c r="C59" s="18">
        <v>1086</v>
      </c>
      <c r="D59" s="18">
        <v>994</v>
      </c>
      <c r="E59" s="18">
        <v>889.173</v>
      </c>
      <c r="F59" s="18">
        <v>881.65200000000004</v>
      </c>
      <c r="G59" s="18">
        <v>852.40599999999995</v>
      </c>
      <c r="H59" s="18">
        <v>908.87599999999998</v>
      </c>
      <c r="I59" s="18">
        <v>748.9</v>
      </c>
      <c r="J59" s="18">
        <v>729.5</v>
      </c>
      <c r="K59" s="18">
        <v>878.3</v>
      </c>
      <c r="L59" s="18">
        <v>646</v>
      </c>
      <c r="M59" s="18">
        <v>535.79999999999995</v>
      </c>
      <c r="N59" s="18">
        <v>536</v>
      </c>
      <c r="O59" s="18">
        <v>505.6</v>
      </c>
      <c r="P59" s="18">
        <v>409.8</v>
      </c>
      <c r="Q59" s="18">
        <v>395.9</v>
      </c>
      <c r="R59" s="18">
        <v>382.6</v>
      </c>
      <c r="S59" s="18">
        <v>376.80799999999999</v>
      </c>
      <c r="T59" s="18">
        <v>366.43400000000003</v>
      </c>
      <c r="U59" s="18">
        <v>354.42500000000001</v>
      </c>
      <c r="V59" s="18">
        <v>331.44200000000001</v>
      </c>
      <c r="W59" s="18">
        <v>305.68</v>
      </c>
      <c r="X59" s="18">
        <v>283.59500000000003</v>
      </c>
      <c r="Y59" s="18">
        <v>273.41199999999998</v>
      </c>
      <c r="Z59" s="18">
        <v>278.25099999999998</v>
      </c>
      <c r="AA59" s="18">
        <v>248</v>
      </c>
      <c r="AB59" s="18">
        <v>220.661</v>
      </c>
      <c r="AC59" s="18">
        <v>205.005</v>
      </c>
      <c r="AD59" s="18">
        <v>181.23400000000001</v>
      </c>
      <c r="AE59" s="18">
        <v>160.292</v>
      </c>
      <c r="AF59" s="18">
        <v>144.709</v>
      </c>
    </row>
    <row r="60" spans="1:32" ht="15" customHeight="1">
      <c r="A60" s="36" t="s">
        <v>278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E69BA-9616-154B-8028-7BA3598F174D}">
  <dimension ref="A1:AE150"/>
  <sheetViews>
    <sheetView topLeftCell="A38" workbookViewId="0">
      <selection activeCell="C19" sqref="C19"/>
    </sheetView>
  </sheetViews>
  <sheetFormatPr baseColWidth="10" defaultColWidth="9.1640625" defaultRowHeight="16" outlineLevelRow="3"/>
  <cols>
    <col min="1" max="1" width="65.83203125" customWidth="1"/>
    <col min="2" max="8" width="7.83203125" customWidth="1"/>
    <col min="9" max="10" width="8" customWidth="1"/>
    <col min="11" max="31" width="7.83203125" customWidth="1"/>
  </cols>
  <sheetData>
    <row r="1" spans="1:31" ht="15" customHeight="1">
      <c r="A1" s="1" t="s">
        <v>236</v>
      </c>
    </row>
    <row r="2" spans="1:31" ht="15" customHeight="1">
      <c r="A2" s="10" t="s">
        <v>385</v>
      </c>
    </row>
    <row r="3" spans="1:31" ht="15" customHeigh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row>
    <row r="4" spans="1:31" ht="15" customHeight="1"/>
    <row r="5" spans="1:31" ht="15" customHeight="1">
      <c r="A5" s="12" t="s">
        <v>238</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row>
    <row r="6" spans="1:31" ht="15" customHeight="1">
      <c r="A6" s="12" t="s">
        <v>239</v>
      </c>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row>
    <row r="7" spans="1:31" ht="15" customHeight="1">
      <c r="A7" s="12" t="s">
        <v>240</v>
      </c>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row>
    <row r="8" spans="1:31" ht="15" customHeight="1">
      <c r="A8" s="12"/>
      <c r="B8" s="12" t="s">
        <v>1</v>
      </c>
      <c r="C8" s="12" t="s">
        <v>2</v>
      </c>
      <c r="D8" s="12" t="s">
        <v>3</v>
      </c>
      <c r="E8" s="12" t="s">
        <v>4</v>
      </c>
      <c r="F8" s="12" t="s">
        <v>5</v>
      </c>
      <c r="G8" s="12" t="s">
        <v>6</v>
      </c>
      <c r="H8" s="12" t="s">
        <v>7</v>
      </c>
      <c r="I8" s="12" t="s">
        <v>8</v>
      </c>
      <c r="J8" s="12" t="s">
        <v>9</v>
      </c>
      <c r="K8" s="12" t="s">
        <v>10</v>
      </c>
      <c r="L8" s="12" t="s">
        <v>11</v>
      </c>
      <c r="M8" s="12" t="s">
        <v>12</v>
      </c>
      <c r="N8" s="12" t="s">
        <v>13</v>
      </c>
      <c r="O8" s="12" t="s">
        <v>14</v>
      </c>
      <c r="P8" s="12" t="s">
        <v>15</v>
      </c>
      <c r="Q8" s="12" t="s">
        <v>16</v>
      </c>
      <c r="R8" s="12" t="s">
        <v>17</v>
      </c>
      <c r="S8" s="12" t="s">
        <v>18</v>
      </c>
      <c r="T8" s="12" t="s">
        <v>19</v>
      </c>
      <c r="U8" s="12" t="s">
        <v>20</v>
      </c>
      <c r="V8" s="12" t="s">
        <v>21</v>
      </c>
      <c r="W8" s="12" t="s">
        <v>22</v>
      </c>
      <c r="X8" s="12" t="s">
        <v>23</v>
      </c>
      <c r="Y8" s="12" t="s">
        <v>24</v>
      </c>
      <c r="Z8" s="12" t="s">
        <v>25</v>
      </c>
      <c r="AA8" s="12" t="s">
        <v>26</v>
      </c>
      <c r="AB8" s="12" t="s">
        <v>27</v>
      </c>
      <c r="AC8" s="12" t="s">
        <v>28</v>
      </c>
      <c r="AD8" s="12" t="s">
        <v>29</v>
      </c>
      <c r="AE8" s="12" t="s">
        <v>30</v>
      </c>
    </row>
    <row r="9" spans="1:31" ht="15" customHeight="1">
      <c r="A9" s="12"/>
      <c r="B9" s="12"/>
      <c r="C9" s="12"/>
      <c r="D9" s="12"/>
      <c r="E9" s="12"/>
      <c r="F9" s="12"/>
      <c r="G9" s="12"/>
      <c r="H9" s="12"/>
      <c r="I9" s="12" t="s">
        <v>375</v>
      </c>
      <c r="J9" s="12" t="s">
        <v>375</v>
      </c>
      <c r="K9" s="12"/>
      <c r="L9" s="12"/>
      <c r="M9" s="12"/>
      <c r="N9" s="12"/>
      <c r="O9" s="12"/>
      <c r="P9" s="12"/>
      <c r="Q9" s="12"/>
      <c r="R9" s="12"/>
      <c r="S9" s="12"/>
      <c r="T9" s="12"/>
      <c r="U9" s="12"/>
      <c r="V9" s="12"/>
      <c r="W9" s="12"/>
      <c r="X9" s="12"/>
      <c r="Y9" s="12"/>
      <c r="Z9" s="12"/>
      <c r="AA9" s="12"/>
      <c r="AB9" s="12"/>
      <c r="AC9" s="12"/>
      <c r="AD9" s="12"/>
      <c r="AE9" s="12"/>
    </row>
    <row r="10" spans="1:31" ht="15" customHeight="1">
      <c r="A10" s="25" t="s">
        <v>280</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row>
    <row r="11" spans="1:31" ht="15" customHeight="1" outlineLevel="1">
      <c r="A11" s="30" t="s">
        <v>281</v>
      </c>
      <c r="B11" s="14">
        <v>1071</v>
      </c>
      <c r="C11" s="14">
        <v>696</v>
      </c>
      <c r="D11" s="14">
        <v>745.20100000000002</v>
      </c>
      <c r="E11" s="14">
        <v>867.08600000000001</v>
      </c>
      <c r="F11" s="14">
        <v>3007.123</v>
      </c>
      <c r="G11" s="14">
        <v>6059.4269999999997</v>
      </c>
      <c r="H11" s="14">
        <v>513.46</v>
      </c>
      <c r="I11" s="14">
        <v>552.32500000000005</v>
      </c>
      <c r="J11" s="14">
        <v>869.50199999999995</v>
      </c>
      <c r="K11" s="14">
        <v>3919.3</v>
      </c>
      <c r="L11" s="14">
        <v>5130.0439999999999</v>
      </c>
      <c r="M11" s="14">
        <v>413.04599999999999</v>
      </c>
      <c r="N11" s="14">
        <v>412.28500000000003</v>
      </c>
      <c r="O11" s="14">
        <v>688.86699999999996</v>
      </c>
      <c r="P11" s="14">
        <v>639.76499999999999</v>
      </c>
      <c r="Q11" s="14">
        <v>608.95399999999995</v>
      </c>
      <c r="R11" s="14">
        <v>1087.0840000000001</v>
      </c>
      <c r="S11" s="14">
        <v>551.55200000000002</v>
      </c>
      <c r="T11" s="14">
        <v>207.87200000000001</v>
      </c>
      <c r="U11" s="14">
        <v>201.89699999999999</v>
      </c>
      <c r="V11" s="14">
        <v>191.678</v>
      </c>
      <c r="W11" s="14">
        <v>199.70599999999999</v>
      </c>
      <c r="X11" s="14">
        <v>337.447</v>
      </c>
      <c r="Y11" s="14">
        <v>230.43899999999999</v>
      </c>
      <c r="Z11" s="14">
        <v>135.74299999999999</v>
      </c>
      <c r="AA11" s="14">
        <v>159.12799999999999</v>
      </c>
      <c r="AB11" s="14">
        <v>149.303</v>
      </c>
      <c r="AC11" s="14">
        <v>110.288</v>
      </c>
      <c r="AD11" s="14">
        <v>117.696</v>
      </c>
      <c r="AE11" s="14">
        <v>107.759</v>
      </c>
    </row>
    <row r="12" spans="1:31" ht="15" customHeight="1" outlineLevel="2">
      <c r="A12" s="29" t="s">
        <v>282</v>
      </c>
      <c r="B12" s="24">
        <v>1071</v>
      </c>
      <c r="C12" s="24">
        <v>696</v>
      </c>
      <c r="D12" s="24">
        <v>745.20100000000002</v>
      </c>
      <c r="E12" s="24">
        <v>867.08600000000001</v>
      </c>
      <c r="F12" s="24">
        <v>3007.123</v>
      </c>
      <c r="G12" s="24">
        <v>6059.4269999999997</v>
      </c>
      <c r="H12" s="24">
        <v>513.46</v>
      </c>
      <c r="I12" s="24">
        <v>552.32500000000005</v>
      </c>
      <c r="J12" s="24">
        <v>869.50199999999995</v>
      </c>
      <c r="K12" s="24">
        <v>3919.3</v>
      </c>
      <c r="L12" s="24">
        <v>5130.0439999999999</v>
      </c>
      <c r="M12" s="24">
        <v>413.04599999999999</v>
      </c>
      <c r="N12" s="24">
        <v>412.28500000000003</v>
      </c>
      <c r="O12" s="24">
        <v>688.86699999999996</v>
      </c>
      <c r="P12" s="24">
        <v>639.76499999999999</v>
      </c>
      <c r="Q12" s="24">
        <v>585.44299999999998</v>
      </c>
      <c r="R12" s="24">
        <v>1087.0840000000001</v>
      </c>
      <c r="S12" s="24">
        <v>551.55200000000002</v>
      </c>
      <c r="T12" s="24">
        <v>207.87200000000001</v>
      </c>
      <c r="U12" s="24">
        <v>201.89699999999999</v>
      </c>
      <c r="V12" s="24">
        <v>191.678</v>
      </c>
      <c r="W12" s="24">
        <v>199.70599999999999</v>
      </c>
      <c r="X12" s="24">
        <v>337.447</v>
      </c>
      <c r="Y12" s="24">
        <v>230.43899999999999</v>
      </c>
      <c r="Z12" s="24">
        <v>135.74299999999999</v>
      </c>
      <c r="AA12" s="24">
        <v>159.12799999999999</v>
      </c>
      <c r="AB12" s="24">
        <v>149.303</v>
      </c>
      <c r="AC12" s="24">
        <v>110.288</v>
      </c>
      <c r="AD12" s="24">
        <v>117.696</v>
      </c>
      <c r="AE12" s="24">
        <v>107.759</v>
      </c>
    </row>
    <row r="13" spans="1:31" ht="15" customHeight="1" outlineLevel="2">
      <c r="A13" s="17" t="s">
        <v>386</v>
      </c>
      <c r="B13" s="18">
        <v>0</v>
      </c>
      <c r="C13" s="18">
        <v>0</v>
      </c>
      <c r="D13" s="18">
        <v>0</v>
      </c>
      <c r="E13" s="18">
        <v>0</v>
      </c>
      <c r="F13" s="18">
        <v>0</v>
      </c>
      <c r="G13" s="18">
        <v>0</v>
      </c>
      <c r="H13" s="18">
        <v>0</v>
      </c>
      <c r="I13" s="18">
        <v>0</v>
      </c>
      <c r="J13" s="18">
        <v>0</v>
      </c>
      <c r="K13" s="18">
        <v>0</v>
      </c>
      <c r="L13" s="18">
        <v>0</v>
      </c>
      <c r="M13" s="18">
        <v>0</v>
      </c>
      <c r="N13" s="18">
        <v>0</v>
      </c>
      <c r="O13" s="18">
        <v>0</v>
      </c>
      <c r="P13" s="18">
        <v>0</v>
      </c>
      <c r="Q13" s="18">
        <v>23.510999999999999</v>
      </c>
      <c r="R13" s="18">
        <v>0</v>
      </c>
      <c r="S13" s="18">
        <v>0</v>
      </c>
      <c r="T13" s="18">
        <v>0</v>
      </c>
      <c r="U13" s="18">
        <v>0</v>
      </c>
      <c r="V13" s="18">
        <v>0</v>
      </c>
      <c r="W13" s="18">
        <v>0</v>
      </c>
      <c r="X13" s="18">
        <v>0</v>
      </c>
      <c r="Y13" s="18">
        <v>0</v>
      </c>
      <c r="Z13" s="18">
        <v>0</v>
      </c>
      <c r="AA13" s="18">
        <v>0</v>
      </c>
      <c r="AB13" s="18">
        <v>0</v>
      </c>
      <c r="AC13" s="18">
        <v>0</v>
      </c>
      <c r="AD13" s="18">
        <v>0</v>
      </c>
      <c r="AE13" s="18">
        <v>0</v>
      </c>
    </row>
    <row r="14" spans="1:31" ht="15" customHeight="1" outlineLevel="1">
      <c r="A14" s="15" t="s">
        <v>283</v>
      </c>
      <c r="B14" s="16">
        <v>5506</v>
      </c>
      <c r="C14" s="16">
        <v>5346</v>
      </c>
      <c r="D14" s="16">
        <v>5097.7849999999999</v>
      </c>
      <c r="E14" s="16">
        <v>4874.8459999999995</v>
      </c>
      <c r="F14" s="16">
        <v>3790.2689999999998</v>
      </c>
      <c r="G14" s="16">
        <v>3001.5569999999998</v>
      </c>
      <c r="H14" s="16">
        <v>4201.4290000000001</v>
      </c>
      <c r="I14" s="16">
        <v>4137.835</v>
      </c>
      <c r="J14" s="16">
        <v>4029.1529999999998</v>
      </c>
      <c r="K14" s="16">
        <v>3380.971</v>
      </c>
      <c r="L14" s="16">
        <v>3353.3809999999999</v>
      </c>
      <c r="M14" s="16">
        <v>3398.7130000000002</v>
      </c>
      <c r="N14" s="16">
        <v>3183.114</v>
      </c>
      <c r="O14" s="16">
        <v>2966.6239999999998</v>
      </c>
      <c r="P14" s="16">
        <v>2898.2829999999999</v>
      </c>
      <c r="Q14" s="16">
        <v>2617.3519999999999</v>
      </c>
      <c r="R14" s="16">
        <v>2468.511</v>
      </c>
      <c r="S14" s="16">
        <v>2723.1889999999999</v>
      </c>
      <c r="T14" s="16">
        <v>2610.8850000000002</v>
      </c>
      <c r="U14" s="16">
        <v>2483.7199999999998</v>
      </c>
      <c r="V14" s="16">
        <v>2284.0329999999999</v>
      </c>
      <c r="W14" s="16">
        <v>2189.127</v>
      </c>
      <c r="X14" s="16">
        <v>2009.627</v>
      </c>
      <c r="Y14" s="16">
        <v>1760.827</v>
      </c>
      <c r="Z14" s="16">
        <v>1658.0440000000001</v>
      </c>
      <c r="AA14" s="16">
        <v>1519.038</v>
      </c>
      <c r="AB14" s="16">
        <v>1334.3710000000001</v>
      </c>
      <c r="AC14" s="16">
        <v>1215.6099999999999</v>
      </c>
      <c r="AD14" s="16">
        <v>1065.002</v>
      </c>
      <c r="AE14" s="16">
        <v>1039.759</v>
      </c>
    </row>
    <row r="15" spans="1:31" ht="15" customHeight="1" outlineLevel="2">
      <c r="A15" s="46" t="s">
        <v>284</v>
      </c>
      <c r="B15" s="14">
        <v>5502</v>
      </c>
      <c r="C15" s="14">
        <v>5324</v>
      </c>
      <c r="D15" s="14">
        <v>5091.97</v>
      </c>
      <c r="E15" s="14">
        <v>4838.9120000000003</v>
      </c>
      <c r="F15" s="14">
        <v>3781.51</v>
      </c>
      <c r="G15" s="14">
        <v>2893.5509999999999</v>
      </c>
      <c r="H15" s="14">
        <v>4181.6959999999999</v>
      </c>
      <c r="I15" s="14">
        <v>4073.723</v>
      </c>
      <c r="J15" s="14">
        <v>4012.393</v>
      </c>
      <c r="K15" s="14">
        <v>3380.971</v>
      </c>
      <c r="L15" s="14">
        <v>3353.3809999999999</v>
      </c>
      <c r="M15" s="14">
        <v>3398.7130000000002</v>
      </c>
      <c r="N15" s="14">
        <v>3183.114</v>
      </c>
      <c r="O15" s="14">
        <v>2966.6239999999998</v>
      </c>
      <c r="P15" s="14">
        <v>2898.2829999999999</v>
      </c>
      <c r="Q15" s="14">
        <v>2617.3519999999999</v>
      </c>
      <c r="R15" s="14">
        <v>2468.511</v>
      </c>
      <c r="S15" s="14">
        <v>2723.1889999999999</v>
      </c>
      <c r="T15" s="14">
        <v>2610.8850000000002</v>
      </c>
      <c r="U15" s="14">
        <v>2483.7199999999998</v>
      </c>
      <c r="V15" s="14">
        <v>2284.0329999999999</v>
      </c>
      <c r="W15" s="14">
        <v>2189.127</v>
      </c>
      <c r="X15" s="14">
        <v>2009.627</v>
      </c>
      <c r="Y15" s="14">
        <v>1760.827</v>
      </c>
      <c r="Z15" s="14">
        <v>1658.0440000000001</v>
      </c>
      <c r="AA15" s="14">
        <v>1519.038</v>
      </c>
      <c r="AB15" s="13"/>
      <c r="AC15" s="14">
        <v>1215.6099999999999</v>
      </c>
      <c r="AD15" s="14">
        <v>1065.002</v>
      </c>
      <c r="AE15" s="14">
        <v>1039.759</v>
      </c>
    </row>
    <row r="16" spans="1:31" ht="15" customHeight="1" outlineLevel="3">
      <c r="A16" s="22" t="s">
        <v>285</v>
      </c>
      <c r="B16" s="24">
        <v>5519</v>
      </c>
      <c r="C16" s="24">
        <v>5378</v>
      </c>
      <c r="D16" s="24">
        <v>5137.5690000000004</v>
      </c>
      <c r="E16" s="24">
        <v>4909.7020000000002</v>
      </c>
      <c r="F16" s="24">
        <v>3899.2049999999999</v>
      </c>
      <c r="G16" s="24">
        <v>3228.3609999999999</v>
      </c>
      <c r="H16" s="24">
        <v>4209.8720000000003</v>
      </c>
      <c r="I16" s="24">
        <v>4099.491</v>
      </c>
      <c r="J16" s="24">
        <v>4043.4520000000002</v>
      </c>
      <c r="K16" s="24">
        <v>3418.8510000000001</v>
      </c>
      <c r="L16" s="24">
        <v>3395.1010000000001</v>
      </c>
      <c r="M16" s="24">
        <v>3448.6149999999998</v>
      </c>
      <c r="N16" s="24">
        <v>3230.4589999999998</v>
      </c>
      <c r="O16" s="24">
        <v>3009.5430000000001</v>
      </c>
      <c r="P16" s="24">
        <v>2940.7190000000001</v>
      </c>
      <c r="Q16" s="24">
        <v>2653.9250000000002</v>
      </c>
      <c r="R16" s="24">
        <v>2504.5889999999999</v>
      </c>
      <c r="S16" s="24">
        <v>2754.9189999999999</v>
      </c>
      <c r="T16" s="24">
        <v>2642.7260000000001</v>
      </c>
      <c r="U16" s="24">
        <v>2512.8200000000002</v>
      </c>
      <c r="V16" s="24">
        <v>2313.6370000000002</v>
      </c>
      <c r="W16" s="24">
        <v>2223.3020000000001</v>
      </c>
      <c r="X16" s="24">
        <v>2044.6320000000001</v>
      </c>
      <c r="Y16" s="24">
        <v>1791.165</v>
      </c>
      <c r="Z16" s="24">
        <v>1686.028</v>
      </c>
      <c r="AA16" s="24">
        <v>1546.6659999999999</v>
      </c>
      <c r="AB16" s="24">
        <v>21.094999999999999</v>
      </c>
      <c r="AC16" s="24">
        <v>1235.691</v>
      </c>
      <c r="AD16" s="24">
        <v>1082.242</v>
      </c>
      <c r="AE16" s="24">
        <v>1056.1389999999999</v>
      </c>
    </row>
    <row r="17" spans="1:31" ht="15" customHeight="1" outlineLevel="3">
      <c r="A17" s="20" t="s">
        <v>286</v>
      </c>
      <c r="B17" s="28">
        <v>-17</v>
      </c>
      <c r="C17" s="28">
        <v>-54</v>
      </c>
      <c r="D17" s="28">
        <v>-45.598999999999997</v>
      </c>
      <c r="E17" s="28">
        <v>-70.790000000000006</v>
      </c>
      <c r="F17" s="28">
        <v>-117.69499999999999</v>
      </c>
      <c r="G17" s="28">
        <v>-334.81</v>
      </c>
      <c r="H17" s="28">
        <v>-28.175999999999998</v>
      </c>
      <c r="I17" s="28">
        <v>-25.768000000000001</v>
      </c>
      <c r="J17" s="28">
        <v>-31.059000000000001</v>
      </c>
      <c r="K17" s="28">
        <v>-37.880000000000003</v>
      </c>
      <c r="L17" s="28">
        <v>-41.72</v>
      </c>
      <c r="M17" s="28">
        <v>-49.902000000000001</v>
      </c>
      <c r="N17" s="28">
        <v>-47.344999999999999</v>
      </c>
      <c r="O17" s="28">
        <v>-42.918999999999997</v>
      </c>
      <c r="P17" s="28">
        <v>-42.436</v>
      </c>
      <c r="Q17" s="28">
        <v>-36.573</v>
      </c>
      <c r="R17" s="28">
        <v>-36.078000000000003</v>
      </c>
      <c r="S17" s="28">
        <v>-31.73</v>
      </c>
      <c r="T17" s="28">
        <v>-31.841000000000001</v>
      </c>
      <c r="U17" s="28">
        <v>-29.1</v>
      </c>
      <c r="V17" s="28">
        <v>-29.603999999999999</v>
      </c>
      <c r="W17" s="28">
        <v>-34.174999999999997</v>
      </c>
      <c r="X17" s="28">
        <v>-35.005000000000003</v>
      </c>
      <c r="Y17" s="28">
        <v>-30.338000000000001</v>
      </c>
      <c r="Z17" s="28">
        <v>-27.984000000000002</v>
      </c>
      <c r="AA17" s="28">
        <v>-27.628</v>
      </c>
      <c r="AB17" s="28">
        <v>-21.094999999999999</v>
      </c>
      <c r="AC17" s="28">
        <v>-20.081</v>
      </c>
      <c r="AD17" s="28">
        <v>-17.239999999999998</v>
      </c>
      <c r="AE17" s="28">
        <v>-16.38</v>
      </c>
    </row>
    <row r="18" spans="1:31" ht="15" customHeight="1" outlineLevel="2">
      <c r="A18" s="29" t="s">
        <v>287</v>
      </c>
      <c r="B18" s="24">
        <v>4</v>
      </c>
      <c r="C18" s="24">
        <v>22</v>
      </c>
      <c r="D18" s="24">
        <v>5.8150000000000004</v>
      </c>
      <c r="E18" s="24">
        <v>35.933999999999997</v>
      </c>
      <c r="F18" s="24">
        <v>8.7590000000000003</v>
      </c>
      <c r="G18" s="24">
        <v>108.006</v>
      </c>
      <c r="H18" s="24">
        <v>19.733000000000001</v>
      </c>
      <c r="I18" s="24">
        <v>64.111999999999995</v>
      </c>
      <c r="J18" s="24">
        <v>16.760000000000002</v>
      </c>
      <c r="K18" s="24">
        <v>0</v>
      </c>
      <c r="L18" s="24">
        <v>0</v>
      </c>
      <c r="M18" s="24">
        <v>0</v>
      </c>
      <c r="N18" s="24">
        <v>0</v>
      </c>
      <c r="O18" s="24">
        <v>0</v>
      </c>
      <c r="P18" s="24">
        <v>0</v>
      </c>
      <c r="Q18" s="24">
        <v>0</v>
      </c>
      <c r="R18" s="24">
        <v>0</v>
      </c>
      <c r="S18" s="24">
        <v>0</v>
      </c>
      <c r="T18" s="24">
        <v>0</v>
      </c>
      <c r="U18" s="24">
        <v>0</v>
      </c>
      <c r="V18" s="24">
        <v>0</v>
      </c>
      <c r="W18" s="24">
        <v>0</v>
      </c>
      <c r="X18" s="24">
        <v>0</v>
      </c>
      <c r="Y18" s="24">
        <v>0</v>
      </c>
      <c r="Z18" s="24">
        <v>0</v>
      </c>
      <c r="AA18" s="24">
        <v>0</v>
      </c>
      <c r="AB18" s="23"/>
      <c r="AC18" s="24">
        <v>0</v>
      </c>
      <c r="AD18" s="24">
        <v>0</v>
      </c>
      <c r="AE18" s="24">
        <v>0</v>
      </c>
    </row>
    <row r="19" spans="1:31" ht="15" customHeight="1" outlineLevel="1">
      <c r="A19" s="30" t="s">
        <v>288</v>
      </c>
      <c r="B19" s="14">
        <v>5053</v>
      </c>
      <c r="C19" s="14">
        <v>4678</v>
      </c>
      <c r="D19" s="14">
        <v>4480.8119999999999</v>
      </c>
      <c r="E19" s="14">
        <v>4437.4979999999996</v>
      </c>
      <c r="F19" s="14">
        <v>3695.2190000000001</v>
      </c>
      <c r="G19" s="14">
        <v>3095.085</v>
      </c>
      <c r="H19" s="14">
        <v>3216.0340000000001</v>
      </c>
      <c r="I19" s="14">
        <v>3125.413</v>
      </c>
      <c r="J19" s="14">
        <v>2995.598</v>
      </c>
      <c r="K19" s="14">
        <v>2639.174</v>
      </c>
      <c r="L19" s="14">
        <v>2691.8229999999999</v>
      </c>
      <c r="M19" s="14">
        <v>2602.018</v>
      </c>
      <c r="N19" s="14">
        <v>2396.1880000000001</v>
      </c>
      <c r="O19" s="14">
        <v>2178.83</v>
      </c>
      <c r="P19" s="14">
        <v>2073.7660000000001</v>
      </c>
      <c r="Q19" s="14">
        <v>1771.539</v>
      </c>
      <c r="R19" s="14">
        <v>1650.6659999999999</v>
      </c>
      <c r="S19" s="14">
        <v>1836.4780000000001</v>
      </c>
      <c r="T19" s="14">
        <v>1714.1869999999999</v>
      </c>
      <c r="U19" s="14">
        <v>1608.2329999999999</v>
      </c>
      <c r="V19" s="14">
        <v>1466.1610000000001</v>
      </c>
      <c r="W19" s="14">
        <v>1404.41</v>
      </c>
      <c r="X19" s="14">
        <v>1230.08</v>
      </c>
      <c r="Y19" s="14">
        <v>1117.8689999999999</v>
      </c>
      <c r="Z19" s="14">
        <v>1061.893</v>
      </c>
      <c r="AA19" s="14">
        <v>937.899</v>
      </c>
      <c r="AB19" s="14">
        <v>851.96500000000003</v>
      </c>
      <c r="AC19" s="14">
        <v>790.50099999999998</v>
      </c>
      <c r="AD19" s="14">
        <v>733.78200000000004</v>
      </c>
      <c r="AE19" s="14">
        <v>723.93700000000001</v>
      </c>
    </row>
    <row r="20" spans="1:31" ht="15" customHeight="1" outlineLevel="2">
      <c r="A20" s="29" t="s">
        <v>289</v>
      </c>
      <c r="B20" s="24">
        <v>5053</v>
      </c>
      <c r="C20" s="24">
        <v>4678</v>
      </c>
      <c r="D20" s="24">
        <v>4480.8119999999999</v>
      </c>
      <c r="E20" s="24">
        <v>4437.4979999999996</v>
      </c>
      <c r="F20" s="24">
        <v>3695.2190000000001</v>
      </c>
      <c r="G20" s="24">
        <v>3095.085</v>
      </c>
      <c r="H20" s="24">
        <v>3216.0340000000001</v>
      </c>
      <c r="I20" s="24">
        <v>3125.413</v>
      </c>
      <c r="J20" s="24">
        <v>2995.598</v>
      </c>
      <c r="K20" s="24">
        <v>2639.174</v>
      </c>
      <c r="L20" s="24">
        <v>2691.8229999999999</v>
      </c>
      <c r="M20" s="24">
        <v>2602.018</v>
      </c>
      <c r="N20" s="24">
        <v>2396.1880000000001</v>
      </c>
      <c r="O20" s="24">
        <v>2178.83</v>
      </c>
      <c r="P20" s="24">
        <v>2073.7660000000001</v>
      </c>
      <c r="Q20" s="24">
        <v>1771.539</v>
      </c>
      <c r="R20" s="24">
        <v>1650.6659999999999</v>
      </c>
      <c r="S20" s="24">
        <v>1836.4780000000001</v>
      </c>
      <c r="T20" s="24">
        <v>1714.1869999999999</v>
      </c>
      <c r="U20" s="24">
        <v>1608.2329999999999</v>
      </c>
      <c r="V20" s="24">
        <v>1466.1610000000001</v>
      </c>
      <c r="W20" s="24">
        <v>1404.41</v>
      </c>
      <c r="X20" s="24">
        <v>1230.08</v>
      </c>
      <c r="Y20" s="24">
        <v>1117.8689999999999</v>
      </c>
      <c r="Z20" s="24">
        <v>1061.893</v>
      </c>
      <c r="AA20" s="24">
        <v>937.899</v>
      </c>
      <c r="AB20" s="24">
        <v>851.96500000000003</v>
      </c>
      <c r="AC20" s="23"/>
      <c r="AD20" s="23"/>
      <c r="AE20" s="23"/>
    </row>
    <row r="21" spans="1:31" ht="15" customHeight="1" outlineLevel="1">
      <c r="A21" s="30" t="s">
        <v>290</v>
      </c>
      <c r="B21" s="14">
        <v>338</v>
      </c>
      <c r="C21" s="14">
        <v>323</v>
      </c>
      <c r="D21" s="14">
        <v>284.56599999999997</v>
      </c>
      <c r="E21" s="14">
        <v>303.78899999999999</v>
      </c>
      <c r="F21" s="14">
        <v>240.95599999999999</v>
      </c>
      <c r="G21" s="14">
        <v>192.16300000000001</v>
      </c>
      <c r="H21" s="14">
        <v>210.58199999999999</v>
      </c>
      <c r="I21" s="14">
        <v>187.88</v>
      </c>
      <c r="J21" s="14">
        <v>139.185</v>
      </c>
      <c r="K21" s="14">
        <v>114.45399999999999</v>
      </c>
      <c r="L21" s="14">
        <v>319.05599999999998</v>
      </c>
      <c r="M21" s="14">
        <v>268.19499999999999</v>
      </c>
      <c r="N21" s="14">
        <v>215.84</v>
      </c>
      <c r="O21" s="14">
        <v>250.48699999999999</v>
      </c>
      <c r="P21" s="14">
        <v>121.068</v>
      </c>
      <c r="Q21" s="14">
        <v>78.412999999999997</v>
      </c>
      <c r="R21" s="14">
        <v>64.418000000000006</v>
      </c>
      <c r="S21" s="14">
        <v>63.814</v>
      </c>
      <c r="T21" s="14">
        <v>142.602</v>
      </c>
      <c r="U21" s="14">
        <v>105.84399999999999</v>
      </c>
      <c r="V21" s="14">
        <v>59.914000000000001</v>
      </c>
      <c r="W21" s="14">
        <v>58.167999999999999</v>
      </c>
      <c r="X21" s="14">
        <v>52.38</v>
      </c>
      <c r="Y21" s="14">
        <v>76.153999999999996</v>
      </c>
      <c r="Z21" s="14">
        <v>129.202</v>
      </c>
      <c r="AA21" s="14">
        <v>117.15</v>
      </c>
      <c r="AB21" s="14">
        <v>73.128</v>
      </c>
      <c r="AC21" s="14">
        <v>63.667999999999999</v>
      </c>
      <c r="AD21" s="14">
        <v>47.936999999999998</v>
      </c>
      <c r="AE21" s="14">
        <v>50.872</v>
      </c>
    </row>
    <row r="22" spans="1:31" ht="15" customHeight="1" outlineLevel="2">
      <c r="A22" s="29" t="s">
        <v>387</v>
      </c>
      <c r="B22" s="23"/>
      <c r="C22" s="23"/>
      <c r="D22" s="23"/>
      <c r="E22" s="23"/>
      <c r="F22" s="23"/>
      <c r="G22" s="23"/>
      <c r="H22" s="23"/>
      <c r="I22" s="23"/>
      <c r="J22" s="23"/>
      <c r="K22" s="24">
        <v>0</v>
      </c>
      <c r="L22" s="24">
        <v>90.763000000000005</v>
      </c>
      <c r="M22" s="24">
        <v>43.225000000000001</v>
      </c>
      <c r="N22" s="24">
        <v>17.704000000000001</v>
      </c>
      <c r="O22" s="24">
        <v>35.271000000000001</v>
      </c>
      <c r="P22" s="24">
        <v>48.572000000000003</v>
      </c>
      <c r="Q22" s="24">
        <v>7.4210000000000003</v>
      </c>
      <c r="R22" s="23"/>
      <c r="S22" s="24">
        <v>0</v>
      </c>
      <c r="T22" s="24">
        <v>19.318000000000001</v>
      </c>
      <c r="U22" s="24">
        <v>105.84399999999999</v>
      </c>
      <c r="V22" s="24">
        <v>59.914000000000001</v>
      </c>
      <c r="W22" s="24">
        <v>58.167999999999999</v>
      </c>
      <c r="X22" s="24">
        <v>52.38</v>
      </c>
      <c r="Y22" s="24">
        <v>41.966000000000001</v>
      </c>
      <c r="Z22" s="24">
        <v>40.456000000000003</v>
      </c>
      <c r="AA22" s="24">
        <v>45.109000000000002</v>
      </c>
      <c r="AB22" s="24">
        <v>29.774999999999999</v>
      </c>
      <c r="AC22" s="24">
        <v>26.594999999999999</v>
      </c>
      <c r="AD22" s="24">
        <v>21.428999999999998</v>
      </c>
      <c r="AE22" s="24">
        <v>18.443000000000001</v>
      </c>
    </row>
    <row r="23" spans="1:31" ht="15" customHeight="1" outlineLevel="2">
      <c r="A23" s="17" t="s">
        <v>291</v>
      </c>
      <c r="B23" s="18">
        <v>338</v>
      </c>
      <c r="C23" s="18">
        <v>323</v>
      </c>
      <c r="D23" s="18">
        <v>284.56599999999997</v>
      </c>
      <c r="E23" s="18">
        <v>303.78899999999999</v>
      </c>
      <c r="F23" s="18">
        <v>240.95599999999999</v>
      </c>
      <c r="G23" s="18">
        <v>192.16300000000001</v>
      </c>
      <c r="H23" s="18">
        <v>210.58199999999999</v>
      </c>
      <c r="I23" s="18">
        <v>187.88</v>
      </c>
      <c r="J23" s="18">
        <v>139.185</v>
      </c>
      <c r="K23" s="18">
        <v>114.45399999999999</v>
      </c>
      <c r="L23" s="18">
        <v>228.29300000000001</v>
      </c>
      <c r="M23" s="18">
        <v>224.97</v>
      </c>
      <c r="N23" s="18">
        <v>198.136</v>
      </c>
      <c r="O23" s="18">
        <v>215.21600000000001</v>
      </c>
      <c r="P23" s="18">
        <v>72.495999999999995</v>
      </c>
      <c r="Q23" s="18">
        <v>70.992000000000004</v>
      </c>
      <c r="R23" s="18">
        <v>64.418000000000006</v>
      </c>
      <c r="S23" s="18">
        <v>63.814</v>
      </c>
      <c r="T23" s="18">
        <v>123.28400000000001</v>
      </c>
      <c r="U23" s="21"/>
      <c r="V23" s="21"/>
      <c r="W23" s="18">
        <v>0</v>
      </c>
      <c r="X23" s="18">
        <v>0</v>
      </c>
      <c r="Y23" s="18">
        <v>34.188000000000002</v>
      </c>
      <c r="Z23" s="18">
        <v>88.745999999999995</v>
      </c>
      <c r="AA23" s="18">
        <v>72.040999999999997</v>
      </c>
      <c r="AB23" s="18">
        <v>43.353000000000002</v>
      </c>
      <c r="AC23" s="18">
        <v>37.073</v>
      </c>
      <c r="AD23" s="18">
        <v>26.507999999999999</v>
      </c>
      <c r="AE23" s="18">
        <v>32.429000000000002</v>
      </c>
    </row>
    <row r="24" spans="1:31" ht="15" customHeight="1" outlineLevel="1">
      <c r="A24" s="26" t="s">
        <v>292</v>
      </c>
      <c r="B24" s="24">
        <v>11968</v>
      </c>
      <c r="C24" s="24">
        <v>11043</v>
      </c>
      <c r="D24" s="24">
        <v>10608.364</v>
      </c>
      <c r="E24" s="24">
        <v>10483.218999999999</v>
      </c>
      <c r="F24" s="24">
        <v>10733.566999999999</v>
      </c>
      <c r="G24" s="24">
        <v>12348.232</v>
      </c>
      <c r="H24" s="24">
        <v>8141.5050000000001</v>
      </c>
      <c r="I24" s="24">
        <v>8003.4530000000004</v>
      </c>
      <c r="J24" s="24">
        <v>8033.4380000000001</v>
      </c>
      <c r="K24" s="24">
        <v>10053.898999999999</v>
      </c>
      <c r="L24" s="24">
        <v>11494.304</v>
      </c>
      <c r="M24" s="24">
        <v>6681.9719999999998</v>
      </c>
      <c r="N24" s="24">
        <v>6207.4269999999997</v>
      </c>
      <c r="O24" s="24">
        <v>6084.808</v>
      </c>
      <c r="P24" s="24">
        <v>5732.8819999999996</v>
      </c>
      <c r="Q24" s="24">
        <v>5076.2579999999998</v>
      </c>
      <c r="R24" s="24">
        <v>5270.6790000000001</v>
      </c>
      <c r="S24" s="24">
        <v>5175.0330000000004</v>
      </c>
      <c r="T24" s="24">
        <v>4675.5460000000003</v>
      </c>
      <c r="U24" s="24">
        <v>4399.6940000000004</v>
      </c>
      <c r="V24" s="24">
        <v>4001.7860000000001</v>
      </c>
      <c r="W24" s="24">
        <v>3851.4110000000001</v>
      </c>
      <c r="X24" s="24">
        <v>3629.5340000000001</v>
      </c>
      <c r="Y24" s="24">
        <v>3185.2890000000002</v>
      </c>
      <c r="Z24" s="24">
        <v>2984.8820000000001</v>
      </c>
      <c r="AA24" s="24">
        <v>2733.2150000000001</v>
      </c>
      <c r="AB24" s="24">
        <v>2408.7669999999998</v>
      </c>
      <c r="AC24" s="24">
        <v>2180.067</v>
      </c>
      <c r="AD24" s="24">
        <v>1964.4169999999999</v>
      </c>
      <c r="AE24" s="24">
        <v>1922.327</v>
      </c>
    </row>
    <row r="25" spans="1:31" ht="15" customHeight="1" outlineLevel="1">
      <c r="A25" s="30" t="s">
        <v>293</v>
      </c>
      <c r="B25" s="14">
        <v>7215</v>
      </c>
      <c r="C25" s="14">
        <v>6420</v>
      </c>
      <c r="D25" s="14">
        <v>5646.8149999999996</v>
      </c>
      <c r="E25" s="14">
        <v>5179.7169999999996</v>
      </c>
      <c r="F25" s="14">
        <v>5035.2259999999997</v>
      </c>
      <c r="G25" s="14">
        <v>5062.183</v>
      </c>
      <c r="H25" s="14">
        <v>4501.7049999999999</v>
      </c>
      <c r="I25" s="14">
        <v>4521.66</v>
      </c>
      <c r="J25" s="14">
        <v>4377.3019999999997</v>
      </c>
      <c r="K25" s="14">
        <v>3880.442</v>
      </c>
      <c r="L25" s="14">
        <v>3982.143</v>
      </c>
      <c r="M25" s="14">
        <v>3985.6179999999999</v>
      </c>
      <c r="N25" s="14">
        <v>3978.0709999999999</v>
      </c>
      <c r="O25" s="14">
        <v>3883.75</v>
      </c>
      <c r="P25" s="14">
        <v>3512.3890000000001</v>
      </c>
      <c r="Q25" s="14">
        <v>3203.8229999999999</v>
      </c>
      <c r="R25" s="14">
        <v>2979.2</v>
      </c>
      <c r="S25" s="14">
        <v>2889.79</v>
      </c>
      <c r="T25" s="14">
        <v>2721.2330000000002</v>
      </c>
      <c r="U25" s="14">
        <v>2464.9</v>
      </c>
      <c r="V25" s="14">
        <v>2268.3009999999999</v>
      </c>
      <c r="W25" s="14">
        <v>2166.8090000000002</v>
      </c>
      <c r="X25" s="14">
        <v>1922.66</v>
      </c>
      <c r="Y25" s="14">
        <v>1697.7819999999999</v>
      </c>
      <c r="Z25" s="14">
        <v>1518.5930000000001</v>
      </c>
      <c r="AA25" s="14">
        <v>1344.693</v>
      </c>
      <c r="AB25" s="14">
        <v>1227.6690000000001</v>
      </c>
      <c r="AC25" s="14">
        <v>1151.0540000000001</v>
      </c>
      <c r="AD25" s="14">
        <v>1058.432</v>
      </c>
      <c r="AE25" s="14">
        <v>990.64200000000005</v>
      </c>
    </row>
    <row r="26" spans="1:31" ht="15" customHeight="1" outlineLevel="2">
      <c r="A26" s="19" t="s">
        <v>294</v>
      </c>
      <c r="B26" s="16">
        <v>15095</v>
      </c>
      <c r="C26" s="16">
        <v>13946</v>
      </c>
      <c r="D26" s="16">
        <v>12796.125</v>
      </c>
      <c r="E26" s="16">
        <v>11934.736000000001</v>
      </c>
      <c r="F26" s="16">
        <v>11382.634</v>
      </c>
      <c r="G26" s="16">
        <v>10772.097</v>
      </c>
      <c r="H26" s="16">
        <v>9954.2289999999994</v>
      </c>
      <c r="I26" s="16">
        <v>10200.85</v>
      </c>
      <c r="J26" s="16">
        <v>9699.1329999999998</v>
      </c>
      <c r="K26" s="16">
        <v>8585.25</v>
      </c>
      <c r="L26" s="16">
        <v>8390.4480000000003</v>
      </c>
      <c r="M26" s="16">
        <v>8083.875</v>
      </c>
      <c r="N26" s="16">
        <v>7755.9970000000003</v>
      </c>
      <c r="O26" s="16">
        <v>7341.0510000000004</v>
      </c>
      <c r="P26" s="16">
        <v>6748.2269999999999</v>
      </c>
      <c r="Q26" s="16">
        <v>6159.9859999999999</v>
      </c>
      <c r="R26" s="16">
        <v>5767.4129999999996</v>
      </c>
      <c r="S26" s="16">
        <v>5464.4830000000002</v>
      </c>
      <c r="T26" s="16">
        <v>5084.3379999999997</v>
      </c>
      <c r="U26" s="16">
        <v>4638.9399999999996</v>
      </c>
      <c r="V26" s="16">
        <v>4245.95</v>
      </c>
      <c r="W26" s="16">
        <v>3982.8240000000001</v>
      </c>
      <c r="X26" s="16">
        <v>3603.1370000000002</v>
      </c>
      <c r="Y26" s="16">
        <v>3216.9430000000002</v>
      </c>
      <c r="Z26" s="16">
        <v>2895.6979999999999</v>
      </c>
      <c r="AA26" s="16">
        <v>2559.518</v>
      </c>
      <c r="AB26" s="16">
        <v>2317.0439999999999</v>
      </c>
      <c r="AC26" s="16">
        <v>2142.962</v>
      </c>
      <c r="AD26" s="16">
        <v>1932.1859999999999</v>
      </c>
      <c r="AE26" s="16">
        <v>1754.144</v>
      </c>
    </row>
    <row r="27" spans="1:31" ht="15" customHeight="1" outlineLevel="3">
      <c r="A27" s="20" t="s">
        <v>295</v>
      </c>
      <c r="B27" s="18">
        <v>6217</v>
      </c>
      <c r="C27" s="18">
        <v>5976</v>
      </c>
      <c r="D27" s="18">
        <v>5768.7150000000001</v>
      </c>
      <c r="E27" s="18">
        <v>5335.4459999999999</v>
      </c>
      <c r="F27" s="18">
        <v>4984.3549999999996</v>
      </c>
      <c r="G27" s="18">
        <v>4854.3069999999998</v>
      </c>
      <c r="H27" s="18">
        <v>4545.0990000000002</v>
      </c>
      <c r="I27" s="18">
        <v>4268.6869999999999</v>
      </c>
      <c r="J27" s="18">
        <v>4072.3389999999999</v>
      </c>
      <c r="K27" s="18">
        <v>3962.4540000000002</v>
      </c>
      <c r="L27" s="18">
        <v>3877.817</v>
      </c>
      <c r="M27" s="18">
        <v>3816.3870000000002</v>
      </c>
      <c r="N27" s="18">
        <v>3632.5680000000002</v>
      </c>
      <c r="O27" s="18">
        <v>3510.627</v>
      </c>
      <c r="P27" s="18">
        <v>3227.34</v>
      </c>
      <c r="Q27" s="18">
        <v>2982.5239999999999</v>
      </c>
      <c r="R27" s="18">
        <v>2818.3</v>
      </c>
      <c r="S27" s="18">
        <v>2652.0909999999999</v>
      </c>
      <c r="T27" s="18">
        <v>2428.1840000000002</v>
      </c>
      <c r="U27" s="18">
        <v>2140.7860000000001</v>
      </c>
      <c r="V27" s="18">
        <v>1916.454</v>
      </c>
      <c r="W27" s="18">
        <v>1774.87</v>
      </c>
      <c r="X27" s="18">
        <v>1567.768</v>
      </c>
      <c r="Y27" s="18">
        <v>1390.712</v>
      </c>
      <c r="Z27" s="18">
        <v>1202.701</v>
      </c>
      <c r="AA27" s="18">
        <v>1050.4169999999999</v>
      </c>
      <c r="AB27" s="18">
        <v>957.38900000000001</v>
      </c>
      <c r="AC27" s="18">
        <v>895.91499999999996</v>
      </c>
      <c r="AD27" s="18">
        <v>828.59100000000001</v>
      </c>
      <c r="AE27" s="18">
        <v>754.73299999999995</v>
      </c>
    </row>
    <row r="28" spans="1:31" ht="15" customHeight="1" outlineLevel="3">
      <c r="A28" s="22" t="s">
        <v>296</v>
      </c>
      <c r="B28" s="24">
        <v>492</v>
      </c>
      <c r="C28" s="24">
        <v>490</v>
      </c>
      <c r="D28" s="24">
        <v>493.05099999999999</v>
      </c>
      <c r="E28" s="24">
        <v>489.55599999999998</v>
      </c>
      <c r="F28" s="24">
        <v>492.50400000000002</v>
      </c>
      <c r="G28" s="24">
        <v>493.69400000000002</v>
      </c>
      <c r="H28" s="24">
        <v>498.18</v>
      </c>
      <c r="I28" s="24">
        <v>495.90899999999999</v>
      </c>
      <c r="J28" s="24">
        <v>477.577</v>
      </c>
      <c r="K28" s="24">
        <v>448.98099999999999</v>
      </c>
      <c r="L28" s="24">
        <v>441.93900000000002</v>
      </c>
      <c r="M28" s="24">
        <v>431.69400000000002</v>
      </c>
      <c r="N28" s="24">
        <v>435.447</v>
      </c>
      <c r="O28" s="24">
        <v>352.81200000000001</v>
      </c>
      <c r="P28" s="24">
        <v>348.16800000000001</v>
      </c>
      <c r="Q28" s="24">
        <v>322.62599999999998</v>
      </c>
      <c r="R28" s="24">
        <v>307.32799999999997</v>
      </c>
      <c r="S28" s="24">
        <v>270.15699999999998</v>
      </c>
      <c r="T28" s="24">
        <v>239.20599999999999</v>
      </c>
      <c r="U28" s="24">
        <v>220.542</v>
      </c>
      <c r="V28" s="24">
        <v>208.18899999999999</v>
      </c>
      <c r="W28" s="24">
        <v>186.62799999999999</v>
      </c>
      <c r="X28" s="24">
        <v>174.959</v>
      </c>
      <c r="Y28" s="24">
        <v>131.18799999999999</v>
      </c>
      <c r="Z28" s="24">
        <v>120.836</v>
      </c>
      <c r="AA28" s="24">
        <v>110.54600000000001</v>
      </c>
      <c r="AB28" s="24">
        <v>93.106999999999999</v>
      </c>
      <c r="AC28" s="24">
        <v>100.855</v>
      </c>
      <c r="AD28" s="24">
        <v>97.384</v>
      </c>
      <c r="AE28" s="24">
        <v>82.247</v>
      </c>
    </row>
    <row r="29" spans="1:31" ht="15" customHeight="1" outlineLevel="3">
      <c r="A29" s="20" t="s">
        <v>388</v>
      </c>
      <c r="B29" s="21"/>
      <c r="C29" s="21"/>
      <c r="D29" s="21"/>
      <c r="E29" s="21"/>
      <c r="F29" s="21"/>
      <c r="G29" s="21"/>
      <c r="H29" s="21"/>
      <c r="I29" s="21"/>
      <c r="J29" s="21"/>
      <c r="K29" s="21"/>
      <c r="L29" s="21"/>
      <c r="M29" s="21"/>
      <c r="N29" s="21"/>
      <c r="O29" s="21"/>
      <c r="P29" s="21"/>
      <c r="Q29" s="21"/>
      <c r="R29" s="21"/>
      <c r="S29" s="21"/>
      <c r="T29" s="21"/>
      <c r="U29" s="21"/>
      <c r="V29" s="21"/>
      <c r="W29" s="18">
        <v>2021.326</v>
      </c>
      <c r="X29" s="18">
        <v>1860.41</v>
      </c>
      <c r="Y29" s="18">
        <v>1695.0429999999999</v>
      </c>
      <c r="Z29" s="18">
        <v>1572.1610000000001</v>
      </c>
      <c r="AA29" s="18">
        <v>1398.5550000000001</v>
      </c>
      <c r="AB29" s="18">
        <v>1266.548</v>
      </c>
      <c r="AC29" s="18">
        <v>1146.192</v>
      </c>
      <c r="AD29" s="18">
        <v>1006.211</v>
      </c>
      <c r="AE29" s="18">
        <v>917.16399999999999</v>
      </c>
    </row>
    <row r="30" spans="1:31" ht="15" customHeight="1" outlineLevel="3">
      <c r="A30" s="22" t="s">
        <v>297</v>
      </c>
      <c r="B30" s="24">
        <v>2085</v>
      </c>
      <c r="C30" s="24">
        <v>1769</v>
      </c>
      <c r="D30" s="24">
        <v>1587.229</v>
      </c>
      <c r="E30" s="24">
        <v>1499.5139999999999</v>
      </c>
      <c r="F30" s="24">
        <v>1419.4970000000001</v>
      </c>
      <c r="G30" s="24">
        <v>1258.98</v>
      </c>
      <c r="H30" s="24">
        <v>1213.942</v>
      </c>
      <c r="I30" s="24">
        <v>1628.1210000000001</v>
      </c>
      <c r="J30" s="24">
        <v>1554.1220000000001</v>
      </c>
      <c r="K30" s="24">
        <v>1183.548</v>
      </c>
      <c r="L30" s="24">
        <v>1234.1379999999999</v>
      </c>
      <c r="M30" s="24">
        <v>1109.3789999999999</v>
      </c>
      <c r="N30" s="24">
        <v>1054.7539999999999</v>
      </c>
      <c r="O30" s="24">
        <v>1028.5940000000001</v>
      </c>
      <c r="P30" s="24">
        <v>897.71199999999999</v>
      </c>
      <c r="Q30" s="24">
        <v>701.30499999999995</v>
      </c>
      <c r="R30" s="24">
        <v>569.66899999999998</v>
      </c>
      <c r="S30" s="23"/>
      <c r="T30" s="23"/>
      <c r="U30" s="23"/>
      <c r="V30" s="23"/>
      <c r="W30" s="23"/>
      <c r="X30" s="23"/>
      <c r="Y30" s="23"/>
      <c r="Z30" s="23"/>
      <c r="AA30" s="23"/>
      <c r="AB30" s="23"/>
      <c r="AC30" s="23"/>
      <c r="AD30" s="23"/>
      <c r="AE30" s="23"/>
    </row>
    <row r="31" spans="1:31" ht="15" customHeight="1" outlineLevel="3">
      <c r="A31" s="20" t="s">
        <v>298</v>
      </c>
      <c r="B31" s="18">
        <v>5170</v>
      </c>
      <c r="C31" s="18">
        <v>4788</v>
      </c>
      <c r="D31" s="18">
        <v>4215.3639999999996</v>
      </c>
      <c r="E31" s="18">
        <v>3886.9229999999998</v>
      </c>
      <c r="F31" s="18">
        <v>3777.1149999999998</v>
      </c>
      <c r="G31" s="18">
        <v>3561.5</v>
      </c>
      <c r="H31" s="18">
        <v>3697.0079999999998</v>
      </c>
      <c r="I31" s="18">
        <v>3808.1329999999998</v>
      </c>
      <c r="J31" s="18">
        <v>3595.0949999999998</v>
      </c>
      <c r="K31" s="18">
        <v>2990.2669999999998</v>
      </c>
      <c r="L31" s="18">
        <v>2836.5540000000001</v>
      </c>
      <c r="M31" s="18">
        <v>2726.415</v>
      </c>
      <c r="N31" s="18">
        <v>2633.2280000000001</v>
      </c>
      <c r="O31" s="18">
        <v>2449.018</v>
      </c>
      <c r="P31" s="18">
        <v>2275.0070000000001</v>
      </c>
      <c r="Q31" s="18">
        <v>2153.5309999999999</v>
      </c>
      <c r="R31" s="18">
        <v>2072.116</v>
      </c>
      <c r="S31" s="18">
        <v>2542.2350000000001</v>
      </c>
      <c r="T31" s="18">
        <v>2416.9479999999999</v>
      </c>
      <c r="U31" s="18">
        <v>2277.6120000000001</v>
      </c>
      <c r="V31" s="18">
        <v>2121.3069999999998</v>
      </c>
      <c r="W31" s="21"/>
      <c r="X31" s="21"/>
      <c r="Y31" s="21"/>
      <c r="Z31" s="21"/>
      <c r="AA31" s="21"/>
      <c r="AB31" s="21"/>
      <c r="AC31" s="21"/>
      <c r="AD31" s="21"/>
      <c r="AE31" s="21"/>
    </row>
    <row r="32" spans="1:31" ht="15" customHeight="1" outlineLevel="3">
      <c r="A32" s="22" t="s">
        <v>299</v>
      </c>
      <c r="B32" s="24">
        <v>1131</v>
      </c>
      <c r="C32" s="24">
        <v>923</v>
      </c>
      <c r="D32" s="24">
        <v>731.76599999999996</v>
      </c>
      <c r="E32" s="24">
        <v>723.29700000000003</v>
      </c>
      <c r="F32" s="24">
        <v>709.16300000000001</v>
      </c>
      <c r="G32" s="24">
        <v>603.61599999999999</v>
      </c>
      <c r="H32" s="23"/>
      <c r="I32" s="23"/>
      <c r="J32" s="23"/>
      <c r="K32" s="23"/>
      <c r="L32" s="23"/>
      <c r="M32" s="23"/>
      <c r="N32" s="23"/>
      <c r="O32" s="23"/>
      <c r="P32" s="23"/>
      <c r="Q32" s="23"/>
      <c r="R32" s="23"/>
      <c r="S32" s="23"/>
      <c r="T32" s="23"/>
      <c r="U32" s="23"/>
      <c r="V32" s="23"/>
      <c r="W32" s="23"/>
      <c r="X32" s="23"/>
      <c r="Y32" s="23"/>
      <c r="Z32" s="23"/>
      <c r="AA32" s="23"/>
      <c r="AB32" s="23"/>
      <c r="AC32" s="23"/>
      <c r="AD32" s="23"/>
      <c r="AE32" s="23"/>
    </row>
    <row r="33" spans="1:31" ht="15" customHeight="1" outlineLevel="2">
      <c r="A33" s="17" t="s">
        <v>300</v>
      </c>
      <c r="B33" s="18">
        <v>7880</v>
      </c>
      <c r="C33" s="18">
        <v>7526</v>
      </c>
      <c r="D33" s="18">
        <v>7149.31</v>
      </c>
      <c r="E33" s="18">
        <v>6755.0190000000002</v>
      </c>
      <c r="F33" s="18">
        <v>6347.4080000000004</v>
      </c>
      <c r="G33" s="18">
        <v>5709.9139999999998</v>
      </c>
      <c r="H33" s="18">
        <v>5452.5240000000003</v>
      </c>
      <c r="I33" s="18">
        <v>5679.19</v>
      </c>
      <c r="J33" s="18">
        <v>5321.8310000000001</v>
      </c>
      <c r="K33" s="18">
        <v>4704.808</v>
      </c>
      <c r="L33" s="18">
        <v>4408.3050000000003</v>
      </c>
      <c r="M33" s="18">
        <v>4098.2569999999996</v>
      </c>
      <c r="N33" s="18">
        <v>3777.9259999999999</v>
      </c>
      <c r="O33" s="18">
        <v>3457.3009999999999</v>
      </c>
      <c r="P33" s="18">
        <v>3235.8380000000002</v>
      </c>
      <c r="Q33" s="18">
        <v>2956.163</v>
      </c>
      <c r="R33" s="18">
        <v>2788.2130000000002</v>
      </c>
      <c r="S33" s="18">
        <v>2574.6930000000002</v>
      </c>
      <c r="T33" s="18">
        <v>2363.105</v>
      </c>
      <c r="U33" s="18">
        <v>2174.04</v>
      </c>
      <c r="V33" s="18">
        <v>1977.6489999999999</v>
      </c>
      <c r="W33" s="18">
        <v>1816.0150000000001</v>
      </c>
      <c r="X33" s="18">
        <v>1680.4770000000001</v>
      </c>
      <c r="Y33" s="18">
        <v>1519.1610000000001</v>
      </c>
      <c r="Z33" s="18">
        <v>1377.105</v>
      </c>
      <c r="AA33" s="18">
        <v>1214.825</v>
      </c>
      <c r="AB33" s="18">
        <v>1089.375</v>
      </c>
      <c r="AC33" s="18">
        <v>991.90800000000002</v>
      </c>
      <c r="AD33" s="18">
        <v>873.75400000000002</v>
      </c>
      <c r="AE33" s="18">
        <v>763.50199999999995</v>
      </c>
    </row>
    <row r="34" spans="1:31" ht="15" customHeight="1" outlineLevel="1">
      <c r="A34" s="15" t="s">
        <v>301</v>
      </c>
      <c r="B34" s="16">
        <v>363</v>
      </c>
      <c r="C34" s="16">
        <v>256</v>
      </c>
      <c r="D34" s="16">
        <v>220.93299999999999</v>
      </c>
      <c r="E34" s="16">
        <v>64.290000000000006</v>
      </c>
      <c r="F34" s="16">
        <v>73.194000000000003</v>
      </c>
      <c r="G34" s="16">
        <v>126.712</v>
      </c>
      <c r="H34" s="16">
        <v>83.522999999999996</v>
      </c>
      <c r="I34" s="16">
        <v>177.68199999999999</v>
      </c>
      <c r="J34" s="16">
        <v>0</v>
      </c>
      <c r="K34" s="16">
        <v>36.805</v>
      </c>
      <c r="L34" s="16">
        <v>180.87100000000001</v>
      </c>
      <c r="M34" s="16">
        <v>150.24</v>
      </c>
      <c r="N34" s="16">
        <v>145.328</v>
      </c>
      <c r="O34" s="16">
        <v>133.447</v>
      </c>
      <c r="P34" s="16">
        <v>123.998</v>
      </c>
      <c r="Q34" s="16">
        <v>135.53299999999999</v>
      </c>
      <c r="R34" s="16">
        <v>93.858000000000004</v>
      </c>
      <c r="S34" s="16">
        <v>92.587000000000003</v>
      </c>
      <c r="T34" s="16">
        <v>101.929</v>
      </c>
      <c r="U34" s="16">
        <v>102.274</v>
      </c>
      <c r="V34" s="16">
        <v>101.73099999999999</v>
      </c>
      <c r="W34" s="16">
        <v>0</v>
      </c>
      <c r="X34" s="16">
        <v>83.807000000000002</v>
      </c>
      <c r="Y34" s="16">
        <v>0</v>
      </c>
      <c r="Z34" s="16">
        <v>0</v>
      </c>
      <c r="AA34" s="16">
        <v>0</v>
      </c>
      <c r="AB34" s="16">
        <v>0</v>
      </c>
      <c r="AC34" s="16">
        <v>0</v>
      </c>
      <c r="AD34" s="16">
        <v>0</v>
      </c>
      <c r="AE34" s="16">
        <v>0</v>
      </c>
    </row>
    <row r="35" spans="1:31" ht="15" customHeight="1" outlineLevel="2">
      <c r="A35" s="17" t="s">
        <v>302</v>
      </c>
      <c r="B35" s="18">
        <v>363</v>
      </c>
      <c r="C35" s="18">
        <v>256</v>
      </c>
      <c r="D35" s="18">
        <v>220.93299999999999</v>
      </c>
      <c r="E35" s="18">
        <v>64.290000000000006</v>
      </c>
      <c r="F35" s="18">
        <v>73.194000000000003</v>
      </c>
      <c r="G35" s="18">
        <v>126.712</v>
      </c>
      <c r="H35" s="18">
        <v>83.522999999999996</v>
      </c>
      <c r="I35" s="18">
        <v>177.68199999999999</v>
      </c>
      <c r="J35" s="18">
        <v>0</v>
      </c>
      <c r="K35" s="18">
        <v>36.805</v>
      </c>
      <c r="L35" s="18">
        <v>180.87100000000001</v>
      </c>
      <c r="M35" s="18">
        <v>150.24</v>
      </c>
      <c r="N35" s="18">
        <v>145.328</v>
      </c>
      <c r="O35" s="18">
        <v>133.447</v>
      </c>
      <c r="P35" s="18">
        <v>123.998</v>
      </c>
      <c r="Q35" s="18">
        <v>135.53299999999999</v>
      </c>
      <c r="R35" s="18">
        <v>93.858000000000004</v>
      </c>
      <c r="S35" s="18">
        <v>92.587000000000003</v>
      </c>
      <c r="T35" s="18">
        <v>101.929</v>
      </c>
      <c r="U35" s="18">
        <v>102.274</v>
      </c>
      <c r="V35" s="18">
        <v>101.73099999999999</v>
      </c>
      <c r="W35" s="18">
        <v>0</v>
      </c>
      <c r="X35" s="18">
        <v>83.807000000000002</v>
      </c>
      <c r="Y35" s="18">
        <v>0</v>
      </c>
      <c r="Z35" s="18">
        <v>0</v>
      </c>
      <c r="AA35" s="18">
        <v>0</v>
      </c>
      <c r="AB35" s="18">
        <v>0</v>
      </c>
      <c r="AC35" s="18">
        <v>0</v>
      </c>
      <c r="AD35" s="18">
        <v>0</v>
      </c>
      <c r="AE35" s="18">
        <v>0</v>
      </c>
    </row>
    <row r="36" spans="1:31" ht="15" customHeight="1" outlineLevel="1">
      <c r="A36" s="15" t="s">
        <v>303</v>
      </c>
      <c r="B36" s="16">
        <v>6311</v>
      </c>
      <c r="C36" s="16">
        <v>6341</v>
      </c>
      <c r="D36" s="16">
        <v>5505.2839999999997</v>
      </c>
      <c r="E36" s="16">
        <v>5494.9979999999996</v>
      </c>
      <c r="F36" s="16">
        <v>4690.2120000000004</v>
      </c>
      <c r="G36" s="16">
        <v>4512.6409999999996</v>
      </c>
      <c r="H36" s="16">
        <v>4753.527</v>
      </c>
      <c r="I36" s="16">
        <v>4935.2969999999996</v>
      </c>
      <c r="J36" s="16">
        <v>4953.6390000000001</v>
      </c>
      <c r="K36" s="16">
        <v>2329.1219999999998</v>
      </c>
      <c r="L36" s="16">
        <v>2114.6260000000002</v>
      </c>
      <c r="M36" s="16">
        <v>2127.8989999999999</v>
      </c>
      <c r="N36" s="16">
        <v>2089.9540000000002</v>
      </c>
      <c r="O36" s="16">
        <v>1779.182</v>
      </c>
      <c r="P36" s="16">
        <v>1743.2270000000001</v>
      </c>
      <c r="Q36" s="16">
        <v>1656.213</v>
      </c>
      <c r="R36" s="16">
        <v>1631.884</v>
      </c>
      <c r="S36" s="16">
        <v>1500.752</v>
      </c>
      <c r="T36" s="16">
        <v>1446.6790000000001</v>
      </c>
      <c r="U36" s="16">
        <v>1398.242</v>
      </c>
      <c r="V36" s="16">
        <v>1284.4590000000001</v>
      </c>
      <c r="W36" s="16">
        <v>1218.7</v>
      </c>
      <c r="X36" s="16">
        <v>1113.96</v>
      </c>
      <c r="Y36" s="16">
        <v>922.22199999999998</v>
      </c>
      <c r="Z36" s="16">
        <v>768.83699999999999</v>
      </c>
      <c r="AA36" s="16">
        <v>503.03899999999999</v>
      </c>
      <c r="AB36" s="16">
        <v>302.10000000000002</v>
      </c>
      <c r="AC36" s="16">
        <v>307.959</v>
      </c>
      <c r="AD36" s="16">
        <v>247.423</v>
      </c>
      <c r="AE36" s="16">
        <v>250.47300000000001</v>
      </c>
    </row>
    <row r="37" spans="1:31" ht="15" customHeight="1" outlineLevel="2">
      <c r="A37" s="17" t="s">
        <v>255</v>
      </c>
      <c r="B37" s="18">
        <v>5231</v>
      </c>
      <c r="C37" s="18">
        <v>5153</v>
      </c>
      <c r="D37" s="18">
        <v>4645.7539999999999</v>
      </c>
      <c r="E37" s="18">
        <v>4542.3149999999996</v>
      </c>
      <c r="F37" s="18">
        <v>3944.1390000000001</v>
      </c>
      <c r="G37" s="18">
        <v>3732.4690000000001</v>
      </c>
      <c r="H37" s="18">
        <v>3896.2260000000001</v>
      </c>
      <c r="I37" s="18">
        <v>3955.4850000000001</v>
      </c>
      <c r="J37" s="18">
        <v>3916.1280000000002</v>
      </c>
      <c r="K37" s="18">
        <v>2121.6610000000001</v>
      </c>
      <c r="L37" s="18">
        <v>1959.817</v>
      </c>
      <c r="M37" s="18">
        <v>1950.672</v>
      </c>
      <c r="N37" s="18">
        <v>1884.2349999999999</v>
      </c>
      <c r="O37" s="18">
        <v>1665.6110000000001</v>
      </c>
      <c r="P37" s="18">
        <v>1633.289</v>
      </c>
      <c r="Q37" s="18">
        <v>1549.8150000000001</v>
      </c>
      <c r="R37" s="18">
        <v>1510.7950000000001</v>
      </c>
      <c r="S37" s="18">
        <v>1413.2239999999999</v>
      </c>
      <c r="T37" s="18">
        <v>1355.3130000000001</v>
      </c>
      <c r="U37" s="18">
        <v>1302.5909999999999</v>
      </c>
      <c r="V37" s="18">
        <v>1212.6030000000001</v>
      </c>
      <c r="W37" s="18">
        <v>1218.7</v>
      </c>
      <c r="X37" s="18">
        <v>1113.96</v>
      </c>
      <c r="Y37" s="18">
        <v>922.22199999999998</v>
      </c>
      <c r="Z37" s="18">
        <v>768.83699999999999</v>
      </c>
      <c r="AA37" s="18">
        <v>503.03899999999999</v>
      </c>
      <c r="AB37" s="18">
        <v>302.10000000000002</v>
      </c>
      <c r="AC37" s="18">
        <v>307.959</v>
      </c>
      <c r="AD37" s="18">
        <v>247.423</v>
      </c>
      <c r="AE37" s="18">
        <v>250.47300000000001</v>
      </c>
    </row>
    <row r="38" spans="1:31" ht="15" customHeight="1" outlineLevel="2">
      <c r="A38" s="29" t="s">
        <v>304</v>
      </c>
      <c r="B38" s="24">
        <v>1080</v>
      </c>
      <c r="C38" s="24">
        <v>1188</v>
      </c>
      <c r="D38" s="24">
        <v>859.53</v>
      </c>
      <c r="E38" s="24">
        <v>952.68299999999999</v>
      </c>
      <c r="F38" s="24">
        <v>746.07299999999998</v>
      </c>
      <c r="G38" s="24">
        <v>780.17200000000003</v>
      </c>
      <c r="H38" s="24">
        <v>857.30100000000004</v>
      </c>
      <c r="I38" s="24">
        <v>979.81200000000001</v>
      </c>
      <c r="J38" s="24">
        <v>1037.511</v>
      </c>
      <c r="K38" s="24">
        <v>207.46100000000001</v>
      </c>
      <c r="L38" s="24">
        <v>154.809</v>
      </c>
      <c r="M38" s="24">
        <v>177.227</v>
      </c>
      <c r="N38" s="24">
        <v>205.71899999999999</v>
      </c>
      <c r="O38" s="24">
        <v>113.571</v>
      </c>
      <c r="P38" s="24">
        <v>109.938</v>
      </c>
      <c r="Q38" s="24">
        <v>106.398</v>
      </c>
      <c r="R38" s="24">
        <v>121.089</v>
      </c>
      <c r="S38" s="24">
        <v>87.528000000000006</v>
      </c>
      <c r="T38" s="24">
        <v>91.366</v>
      </c>
      <c r="U38" s="24">
        <v>95.650999999999996</v>
      </c>
      <c r="V38" s="24">
        <v>71.855999999999995</v>
      </c>
      <c r="W38" s="24">
        <v>0</v>
      </c>
      <c r="X38" s="24">
        <v>0</v>
      </c>
      <c r="Y38" s="24">
        <v>0</v>
      </c>
      <c r="Z38" s="24">
        <v>0</v>
      </c>
      <c r="AA38" s="24">
        <v>0</v>
      </c>
      <c r="AB38" s="24">
        <v>0</v>
      </c>
      <c r="AC38" s="24">
        <v>0</v>
      </c>
      <c r="AD38" s="24">
        <v>0</v>
      </c>
      <c r="AE38" s="24">
        <v>0</v>
      </c>
    </row>
    <row r="39" spans="1:31" ht="15" customHeight="1" outlineLevel="1">
      <c r="A39" s="35" t="s">
        <v>305</v>
      </c>
      <c r="B39" s="18">
        <v>497</v>
      </c>
      <c r="C39" s="18">
        <v>445</v>
      </c>
      <c r="D39" s="18">
        <v>420.45</v>
      </c>
      <c r="E39" s="18">
        <v>377.60399999999998</v>
      </c>
      <c r="F39" s="18">
        <v>352.52300000000002</v>
      </c>
      <c r="G39" s="18">
        <v>194.11500000000001</v>
      </c>
      <c r="H39" s="18">
        <v>80.760000000000005</v>
      </c>
      <c r="I39" s="18">
        <v>83.665999999999997</v>
      </c>
      <c r="J39" s="18">
        <v>142.47200000000001</v>
      </c>
      <c r="K39" s="18">
        <v>207.32</v>
      </c>
      <c r="L39" s="21"/>
      <c r="M39" s="21"/>
      <c r="N39" s="21"/>
      <c r="O39" s="21"/>
      <c r="P39" s="21"/>
      <c r="Q39" s="21"/>
      <c r="R39" s="21"/>
      <c r="S39" s="21"/>
      <c r="T39" s="21"/>
      <c r="U39" s="21"/>
      <c r="V39" s="21"/>
      <c r="W39" s="21"/>
      <c r="X39" s="21"/>
      <c r="Y39" s="21"/>
      <c r="Z39" s="21"/>
      <c r="AA39" s="21"/>
      <c r="AB39" s="18">
        <v>0</v>
      </c>
      <c r="AC39" s="21"/>
      <c r="AD39" s="21"/>
      <c r="AE39" s="21"/>
    </row>
    <row r="40" spans="1:31" ht="15" customHeight="1" outlineLevel="1">
      <c r="A40" s="15" t="s">
        <v>306</v>
      </c>
      <c r="B40" s="16">
        <v>420</v>
      </c>
      <c r="C40" s="16">
        <v>412</v>
      </c>
      <c r="D40" s="16">
        <v>419.29899999999998</v>
      </c>
      <c r="E40" s="16">
        <v>485.86</v>
      </c>
      <c r="F40" s="16">
        <v>528.81700000000001</v>
      </c>
      <c r="G40" s="16">
        <v>384.38299999999998</v>
      </c>
      <c r="H40" s="16">
        <v>405.50200000000001</v>
      </c>
      <c r="I40" s="16">
        <v>348.64600000000002</v>
      </c>
      <c r="J40" s="16">
        <v>249.804</v>
      </c>
      <c r="K40" s="16">
        <v>214.21600000000001</v>
      </c>
      <c r="L40" s="16">
        <v>217.33699999999999</v>
      </c>
      <c r="M40" s="16">
        <v>222.221</v>
      </c>
      <c r="N40" s="16">
        <v>243.167</v>
      </c>
      <c r="O40" s="16">
        <v>213.785</v>
      </c>
      <c r="P40" s="16">
        <v>273.05900000000003</v>
      </c>
      <c r="Q40" s="16">
        <v>241.874</v>
      </c>
      <c r="R40" s="16">
        <v>240.99799999999999</v>
      </c>
      <c r="S40" s="16">
        <v>424.13099999999997</v>
      </c>
      <c r="T40" s="16">
        <v>573.54399999999998</v>
      </c>
      <c r="U40" s="16">
        <v>626.91499999999996</v>
      </c>
      <c r="V40" s="16">
        <v>611.625</v>
      </c>
      <c r="W40" s="16">
        <v>610.71199999999999</v>
      </c>
      <c r="X40" s="16">
        <v>186.56</v>
      </c>
      <c r="Y40" s="16">
        <v>184.46</v>
      </c>
      <c r="Z40" s="16">
        <v>196.209</v>
      </c>
      <c r="AA40" s="16">
        <v>233.00800000000001</v>
      </c>
      <c r="AB40" s="16">
        <v>158.04599999999999</v>
      </c>
      <c r="AC40" s="16">
        <v>141.10900000000001</v>
      </c>
      <c r="AD40" s="16">
        <v>166.339</v>
      </c>
      <c r="AE40" s="16">
        <v>161.96299999999999</v>
      </c>
    </row>
    <row r="41" spans="1:31" ht="15" customHeight="1" outlineLevel="2">
      <c r="A41" s="17" t="s">
        <v>307</v>
      </c>
      <c r="B41" s="21"/>
      <c r="C41" s="21"/>
      <c r="D41" s="21"/>
      <c r="E41" s="21"/>
      <c r="F41" s="18">
        <v>124.453</v>
      </c>
      <c r="G41" s="21"/>
      <c r="H41" s="21"/>
      <c r="I41" s="18">
        <v>63.945</v>
      </c>
      <c r="J41" s="21"/>
      <c r="K41" s="21"/>
      <c r="L41" s="21"/>
      <c r="M41" s="21"/>
      <c r="N41" s="21"/>
      <c r="O41" s="21"/>
      <c r="P41" s="21"/>
      <c r="Q41" s="21"/>
      <c r="R41" s="18">
        <v>26.745999999999999</v>
      </c>
      <c r="S41" s="18">
        <v>215.15899999999999</v>
      </c>
      <c r="T41" s="18">
        <v>352.39</v>
      </c>
      <c r="U41" s="18">
        <v>388.65</v>
      </c>
      <c r="V41" s="18">
        <v>389.76600000000002</v>
      </c>
      <c r="W41" s="18">
        <v>243.99600000000001</v>
      </c>
      <c r="X41" s="21"/>
      <c r="Y41" s="21"/>
      <c r="Z41" s="21"/>
      <c r="AA41" s="21"/>
      <c r="AB41" s="21"/>
      <c r="AC41" s="21"/>
      <c r="AD41" s="21"/>
      <c r="AE41" s="18">
        <v>0</v>
      </c>
    </row>
    <row r="42" spans="1:31" ht="15" customHeight="1" outlineLevel="2">
      <c r="A42" s="29" t="s">
        <v>308</v>
      </c>
      <c r="B42" s="24">
        <v>420</v>
      </c>
      <c r="C42" s="24">
        <v>412</v>
      </c>
      <c r="D42" s="24">
        <v>419.29899999999998</v>
      </c>
      <c r="E42" s="24">
        <v>485.86</v>
      </c>
      <c r="F42" s="24">
        <v>404.36399999999998</v>
      </c>
      <c r="G42" s="24">
        <v>384.38299999999998</v>
      </c>
      <c r="H42" s="24">
        <v>405.50200000000001</v>
      </c>
      <c r="I42" s="24">
        <v>284.70100000000002</v>
      </c>
      <c r="J42" s="24">
        <v>249.804</v>
      </c>
      <c r="K42" s="24">
        <v>214.21600000000001</v>
      </c>
      <c r="L42" s="24">
        <v>217.33699999999999</v>
      </c>
      <c r="M42" s="24">
        <v>222.221</v>
      </c>
      <c r="N42" s="24">
        <v>243.167</v>
      </c>
      <c r="O42" s="24">
        <v>213.785</v>
      </c>
      <c r="P42" s="24">
        <v>273.05900000000003</v>
      </c>
      <c r="Q42" s="24">
        <v>241.874</v>
      </c>
      <c r="R42" s="24">
        <v>214.25200000000001</v>
      </c>
      <c r="S42" s="24">
        <v>208.97200000000001</v>
      </c>
      <c r="T42" s="24">
        <v>221.154</v>
      </c>
      <c r="U42" s="24">
        <v>238.26499999999999</v>
      </c>
      <c r="V42" s="24">
        <v>221.85900000000001</v>
      </c>
      <c r="W42" s="24">
        <v>366.71600000000001</v>
      </c>
      <c r="X42" s="24">
        <v>186.56</v>
      </c>
      <c r="Y42" s="24">
        <v>184.46</v>
      </c>
      <c r="Z42" s="24">
        <v>196.209</v>
      </c>
      <c r="AA42" s="24">
        <v>233.00800000000001</v>
      </c>
      <c r="AB42" s="24">
        <v>158.04599999999999</v>
      </c>
      <c r="AC42" s="24">
        <v>141.10900000000001</v>
      </c>
      <c r="AD42" s="24">
        <v>166.339</v>
      </c>
      <c r="AE42" s="24">
        <v>161.96299999999999</v>
      </c>
    </row>
    <row r="43" spans="1:31" ht="15" customHeight="1" outlineLevel="1">
      <c r="A43" s="35" t="s">
        <v>309</v>
      </c>
      <c r="B43" s="18">
        <v>26774</v>
      </c>
      <c r="C43" s="18">
        <v>24917</v>
      </c>
      <c r="D43" s="18">
        <v>22821.145</v>
      </c>
      <c r="E43" s="18">
        <v>22085.687999999998</v>
      </c>
      <c r="F43" s="18">
        <v>21413.539000000001</v>
      </c>
      <c r="G43" s="18">
        <v>22628.266</v>
      </c>
      <c r="H43" s="18">
        <v>17966.522000000001</v>
      </c>
      <c r="I43" s="18">
        <v>18070.403999999999</v>
      </c>
      <c r="J43" s="18">
        <v>17756.654999999999</v>
      </c>
      <c r="K43" s="18">
        <v>16721.804</v>
      </c>
      <c r="L43" s="18">
        <v>17989.280999999999</v>
      </c>
      <c r="M43" s="18">
        <v>13167.95</v>
      </c>
      <c r="N43" s="18">
        <v>12663.947</v>
      </c>
      <c r="O43" s="18">
        <v>12094.972</v>
      </c>
      <c r="P43" s="18">
        <v>11385.555</v>
      </c>
      <c r="Q43" s="18">
        <v>10313.700999999999</v>
      </c>
      <c r="R43" s="18">
        <v>10216.619000000001</v>
      </c>
      <c r="S43" s="18">
        <v>10082.293</v>
      </c>
      <c r="T43" s="18">
        <v>9518.9310000000005</v>
      </c>
      <c r="U43" s="18">
        <v>8992.0249999999996</v>
      </c>
      <c r="V43" s="18">
        <v>8267.902</v>
      </c>
      <c r="W43" s="18">
        <v>7847.6319999999996</v>
      </c>
      <c r="X43" s="18">
        <v>6936.5209999999997</v>
      </c>
      <c r="Y43" s="18">
        <v>5989.7529999999997</v>
      </c>
      <c r="Z43" s="18">
        <v>5468.5209999999997</v>
      </c>
      <c r="AA43" s="18">
        <v>4813.9549999999999</v>
      </c>
      <c r="AB43" s="18">
        <v>4096.5820000000003</v>
      </c>
      <c r="AC43" s="18">
        <v>3780.1889999999999</v>
      </c>
      <c r="AD43" s="18">
        <v>3436.6109999999999</v>
      </c>
      <c r="AE43" s="18">
        <v>3325.4050000000002</v>
      </c>
    </row>
    <row r="44" spans="1:31" ht="15" customHeight="1">
      <c r="A44" s="25" t="s">
        <v>107</v>
      </c>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row>
    <row r="45" spans="1:31" ht="15" customHeight="1" outlineLevel="1">
      <c r="A45" s="30" t="s">
        <v>108</v>
      </c>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row>
    <row r="46" spans="1:31" ht="15" customHeight="1" outlineLevel="2">
      <c r="A46" s="29" t="s">
        <v>109</v>
      </c>
      <c r="B46" s="24">
        <v>1085</v>
      </c>
      <c r="C46" s="24">
        <v>594</v>
      </c>
      <c r="D46" s="24">
        <v>161.601</v>
      </c>
      <c r="E46" s="24">
        <v>686.30100000000004</v>
      </c>
      <c r="F46" s="24">
        <v>597.58199999999999</v>
      </c>
      <c r="G46" s="24">
        <v>1651.5609999999999</v>
      </c>
      <c r="H46" s="24">
        <v>41.279000000000003</v>
      </c>
      <c r="I46" s="24">
        <v>786.505</v>
      </c>
      <c r="J46" s="24">
        <v>534.01300000000003</v>
      </c>
      <c r="K46" s="24">
        <v>98.471999999999994</v>
      </c>
      <c r="L46" s="24">
        <v>5050.0519999999997</v>
      </c>
      <c r="M46" s="24">
        <v>375.75200000000001</v>
      </c>
      <c r="N46" s="24">
        <v>248.93299999999999</v>
      </c>
      <c r="O46" s="24">
        <v>254.65</v>
      </c>
      <c r="P46" s="24">
        <v>389.00599999999997</v>
      </c>
      <c r="Q46" s="24">
        <v>7.97</v>
      </c>
      <c r="R46" s="24">
        <v>9.1630000000000003</v>
      </c>
      <c r="S46" s="24">
        <v>4.8959999999999999</v>
      </c>
      <c r="T46" s="24">
        <v>22.468</v>
      </c>
      <c r="U46" s="24">
        <v>135.565</v>
      </c>
      <c r="V46" s="24">
        <v>474.93099999999998</v>
      </c>
      <c r="W46" s="24">
        <v>236.667</v>
      </c>
      <c r="X46" s="24">
        <v>122.76900000000001</v>
      </c>
      <c r="Y46" s="24">
        <v>80.114000000000004</v>
      </c>
      <c r="Z46" s="24">
        <v>53.906999999999996</v>
      </c>
      <c r="AA46" s="24">
        <v>51.067</v>
      </c>
      <c r="AB46" s="24">
        <v>33.863999999999997</v>
      </c>
      <c r="AC46" s="24">
        <v>157.25299999999999</v>
      </c>
      <c r="AD46" s="24">
        <v>27.552</v>
      </c>
      <c r="AE46" s="24">
        <v>22.324000000000002</v>
      </c>
    </row>
    <row r="47" spans="1:31" ht="15" customHeight="1" outlineLevel="2">
      <c r="A47" s="17" t="s">
        <v>110</v>
      </c>
      <c r="B47" s="18">
        <v>6512</v>
      </c>
      <c r="C47" s="18">
        <v>6290</v>
      </c>
      <c r="D47" s="18">
        <v>6025.7569999999996</v>
      </c>
      <c r="E47" s="18">
        <v>5752.9579999999996</v>
      </c>
      <c r="F47" s="18">
        <v>4884.7809999999999</v>
      </c>
      <c r="G47" s="18">
        <v>3447.0650000000001</v>
      </c>
      <c r="H47" s="18">
        <v>4314.62</v>
      </c>
      <c r="I47" s="18">
        <v>4136.482</v>
      </c>
      <c r="J47" s="18">
        <v>3971.1120000000001</v>
      </c>
      <c r="K47" s="18">
        <v>2935.982</v>
      </c>
      <c r="L47" s="18">
        <v>2881.953</v>
      </c>
      <c r="M47" s="18">
        <v>2831.0279999999998</v>
      </c>
      <c r="N47" s="18">
        <v>2463.4940000000001</v>
      </c>
      <c r="O47" s="18">
        <v>2209.4690000000001</v>
      </c>
      <c r="P47" s="18">
        <v>2183.4169999999999</v>
      </c>
      <c r="Q47" s="18">
        <v>1953.0920000000001</v>
      </c>
      <c r="R47" s="18">
        <v>1856.8869999999999</v>
      </c>
      <c r="S47" s="18">
        <v>2048.759</v>
      </c>
      <c r="T47" s="18">
        <v>1981.19</v>
      </c>
      <c r="U47" s="18">
        <v>1891.357</v>
      </c>
      <c r="V47" s="18">
        <v>1795.8240000000001</v>
      </c>
      <c r="W47" s="18">
        <v>1742.578</v>
      </c>
      <c r="X47" s="18">
        <v>1637.5050000000001</v>
      </c>
      <c r="Y47" s="18">
        <v>1349.33</v>
      </c>
      <c r="Z47" s="18">
        <v>1271.817</v>
      </c>
      <c r="AA47" s="18">
        <v>1186.721</v>
      </c>
      <c r="AB47" s="18">
        <v>1013.302</v>
      </c>
      <c r="AC47" s="18">
        <v>849.15899999999999</v>
      </c>
      <c r="AD47" s="18">
        <v>827.59299999999996</v>
      </c>
      <c r="AE47" s="18">
        <v>779.12400000000002</v>
      </c>
    </row>
    <row r="48" spans="1:31" ht="15" customHeight="1" outlineLevel="2">
      <c r="A48" s="29" t="s">
        <v>111</v>
      </c>
      <c r="B48" s="24">
        <v>51</v>
      </c>
      <c r="C48" s="24">
        <v>131</v>
      </c>
      <c r="D48" s="24">
        <v>101.89400000000001</v>
      </c>
      <c r="E48" s="24">
        <v>40.042000000000002</v>
      </c>
      <c r="F48" s="24">
        <v>22.643999999999998</v>
      </c>
      <c r="G48" s="24">
        <v>2.9380000000000002</v>
      </c>
      <c r="H48" s="24">
        <v>17.343</v>
      </c>
      <c r="I48" s="24">
        <v>56.792999999999999</v>
      </c>
      <c r="J48" s="24">
        <v>14.54</v>
      </c>
      <c r="K48" s="24">
        <v>110.69</v>
      </c>
      <c r="L48" s="23"/>
      <c r="M48" s="23"/>
      <c r="N48" s="24">
        <v>0</v>
      </c>
      <c r="O48" s="24">
        <v>50.316000000000003</v>
      </c>
      <c r="P48" s="24">
        <v>146.083</v>
      </c>
      <c r="Q48" s="24">
        <v>178.02199999999999</v>
      </c>
      <c r="R48" s="24">
        <v>486.34800000000001</v>
      </c>
      <c r="S48" s="24">
        <v>527.79600000000005</v>
      </c>
      <c r="T48" s="24">
        <v>488.84899999999999</v>
      </c>
      <c r="U48" s="24">
        <v>453.7</v>
      </c>
      <c r="V48" s="24">
        <v>444.53300000000002</v>
      </c>
      <c r="W48" s="24">
        <v>422.41899999999998</v>
      </c>
      <c r="X48" s="24">
        <v>316.404</v>
      </c>
      <c r="Y48" s="24">
        <v>41.595999999999997</v>
      </c>
      <c r="Z48" s="24">
        <v>123.33199999999999</v>
      </c>
      <c r="AA48" s="24">
        <v>17.914000000000001</v>
      </c>
      <c r="AB48" s="24">
        <v>6.1029999999999998</v>
      </c>
      <c r="AC48" s="24">
        <v>25.523</v>
      </c>
      <c r="AD48" s="24">
        <v>17.741</v>
      </c>
      <c r="AE48" s="24">
        <v>23.33</v>
      </c>
    </row>
    <row r="49" spans="1:31" ht="15" customHeight="1" outlineLevel="2">
      <c r="A49" s="46" t="s">
        <v>112</v>
      </c>
      <c r="B49" s="14">
        <v>2268</v>
      </c>
      <c r="C49" s="14">
        <v>2226</v>
      </c>
      <c r="D49" s="14">
        <v>2251.181</v>
      </c>
      <c r="E49" s="14">
        <v>2270.7530000000002</v>
      </c>
      <c r="F49" s="14">
        <v>1814.837</v>
      </c>
      <c r="G49" s="14">
        <v>1616.289</v>
      </c>
      <c r="H49" s="14">
        <v>1729.941</v>
      </c>
      <c r="I49" s="14">
        <v>1608.9659999999999</v>
      </c>
      <c r="J49" s="14">
        <v>1576.221</v>
      </c>
      <c r="K49" s="14">
        <v>1289.3119999999999</v>
      </c>
      <c r="L49" s="14">
        <v>1467.61</v>
      </c>
      <c r="M49" s="14">
        <v>1160.8499999999999</v>
      </c>
      <c r="N49" s="14">
        <v>1036.855</v>
      </c>
      <c r="O49" s="14">
        <v>909.14400000000001</v>
      </c>
      <c r="P49" s="14">
        <v>856.56899999999996</v>
      </c>
      <c r="Q49" s="14">
        <v>870.11400000000003</v>
      </c>
      <c r="R49" s="14">
        <v>797.75599999999997</v>
      </c>
      <c r="S49" s="14">
        <v>917.89200000000005</v>
      </c>
      <c r="T49" s="14">
        <v>922.58199999999999</v>
      </c>
      <c r="U49" s="14">
        <v>745.78099999999995</v>
      </c>
      <c r="V49" s="14">
        <v>742.28200000000004</v>
      </c>
      <c r="W49" s="14">
        <v>724.97</v>
      </c>
      <c r="X49" s="14">
        <v>624.45100000000002</v>
      </c>
      <c r="Y49" s="14">
        <v>768.31700000000001</v>
      </c>
      <c r="Z49" s="14">
        <v>640.83900000000006</v>
      </c>
      <c r="AA49" s="14">
        <v>527.23299999999995</v>
      </c>
      <c r="AB49" s="14">
        <v>374.27100000000002</v>
      </c>
      <c r="AC49" s="14">
        <v>292.255</v>
      </c>
      <c r="AD49" s="14">
        <v>240.928</v>
      </c>
      <c r="AE49" s="14">
        <v>212.74600000000001</v>
      </c>
    </row>
    <row r="50" spans="1:31" ht="15" customHeight="1" outlineLevel="3">
      <c r="A50" s="22" t="s">
        <v>113</v>
      </c>
      <c r="B50" s="24">
        <v>2268</v>
      </c>
      <c r="C50" s="24">
        <v>2226</v>
      </c>
      <c r="D50" s="24">
        <v>2251.181</v>
      </c>
      <c r="E50" s="24">
        <v>2270.7530000000002</v>
      </c>
      <c r="F50" s="24">
        <v>1814.837</v>
      </c>
      <c r="G50" s="24">
        <v>1616.289</v>
      </c>
      <c r="H50" s="24">
        <v>1729.941</v>
      </c>
      <c r="I50" s="24">
        <v>1608.9659999999999</v>
      </c>
      <c r="J50" s="24">
        <v>1576.221</v>
      </c>
      <c r="K50" s="24">
        <v>1289.3119999999999</v>
      </c>
      <c r="L50" s="24">
        <v>1467.61</v>
      </c>
      <c r="M50" s="24">
        <v>1160.8499999999999</v>
      </c>
      <c r="N50" s="24">
        <v>1036.855</v>
      </c>
      <c r="O50" s="24">
        <v>909.14400000000001</v>
      </c>
      <c r="P50" s="24">
        <v>856.56899999999996</v>
      </c>
      <c r="Q50" s="24">
        <v>870.11400000000003</v>
      </c>
      <c r="R50" s="24">
        <v>797.75599999999997</v>
      </c>
      <c r="S50" s="24">
        <v>917.89200000000005</v>
      </c>
      <c r="T50" s="24">
        <v>922.58199999999999</v>
      </c>
      <c r="U50" s="24">
        <v>745.78099999999995</v>
      </c>
      <c r="V50" s="24">
        <v>742.28200000000004</v>
      </c>
      <c r="W50" s="24">
        <v>724.97</v>
      </c>
      <c r="X50" s="24">
        <v>624.45100000000002</v>
      </c>
      <c r="Y50" s="24">
        <v>768.31700000000001</v>
      </c>
      <c r="Z50" s="24">
        <v>640.83900000000006</v>
      </c>
      <c r="AA50" s="24">
        <v>527.23299999999995</v>
      </c>
      <c r="AB50" s="24">
        <v>374.27100000000002</v>
      </c>
      <c r="AC50" s="24">
        <v>292.255</v>
      </c>
      <c r="AD50" s="24">
        <v>240.928</v>
      </c>
      <c r="AE50" s="24">
        <v>212.74600000000001</v>
      </c>
    </row>
    <row r="51" spans="1:31" ht="15" customHeight="1" outlineLevel="2">
      <c r="A51" s="17" t="s">
        <v>114</v>
      </c>
      <c r="B51" s="18">
        <v>9916</v>
      </c>
      <c r="C51" s="18">
        <v>9241</v>
      </c>
      <c r="D51" s="18">
        <v>8540.4330000000009</v>
      </c>
      <c r="E51" s="18">
        <v>8750.0540000000001</v>
      </c>
      <c r="F51" s="18">
        <v>7319.8440000000001</v>
      </c>
      <c r="G51" s="18">
        <v>6717.8530000000001</v>
      </c>
      <c r="H51" s="18">
        <v>6103.183</v>
      </c>
      <c r="I51" s="18">
        <v>6588.7460000000001</v>
      </c>
      <c r="J51" s="18">
        <v>6095.8860000000004</v>
      </c>
      <c r="K51" s="18">
        <v>4434.4560000000001</v>
      </c>
      <c r="L51" s="18">
        <v>9399.6149999999998</v>
      </c>
      <c r="M51" s="18">
        <v>4367.63</v>
      </c>
      <c r="N51" s="18">
        <v>3749.2820000000002</v>
      </c>
      <c r="O51" s="18">
        <v>3423.5790000000002</v>
      </c>
      <c r="P51" s="18">
        <v>3575.0749999999998</v>
      </c>
      <c r="Q51" s="18">
        <v>3009.1979999999999</v>
      </c>
      <c r="R51" s="18">
        <v>3150.154</v>
      </c>
      <c r="S51" s="18">
        <v>3499.3429999999998</v>
      </c>
      <c r="T51" s="18">
        <v>3415.0889999999999</v>
      </c>
      <c r="U51" s="18">
        <v>3226.4029999999998</v>
      </c>
      <c r="V51" s="18">
        <v>3457.57</v>
      </c>
      <c r="W51" s="18">
        <v>3126.634</v>
      </c>
      <c r="X51" s="18">
        <v>2701.1289999999999</v>
      </c>
      <c r="Y51" s="18">
        <v>2239.357</v>
      </c>
      <c r="Z51" s="18">
        <v>2089.895</v>
      </c>
      <c r="AA51" s="18">
        <v>1782.9349999999999</v>
      </c>
      <c r="AB51" s="18">
        <v>1427.54</v>
      </c>
      <c r="AC51" s="18">
        <v>1324.19</v>
      </c>
      <c r="AD51" s="18">
        <v>1113.8140000000001</v>
      </c>
      <c r="AE51" s="18">
        <v>1037.5239999999999</v>
      </c>
    </row>
    <row r="52" spans="1:31" ht="15" customHeight="1" outlineLevel="1">
      <c r="A52" s="15" t="s">
        <v>115</v>
      </c>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row>
    <row r="53" spans="1:31" ht="15" customHeight="1" outlineLevel="2">
      <c r="A53" s="46" t="s">
        <v>116</v>
      </c>
      <c r="B53" s="14">
        <v>13409</v>
      </c>
      <c r="C53" s="14">
        <v>12351</v>
      </c>
      <c r="D53" s="14">
        <v>11004.266</v>
      </c>
      <c r="E53" s="14">
        <v>10703.348</v>
      </c>
      <c r="F53" s="14">
        <v>11222.665000000001</v>
      </c>
      <c r="G53" s="14">
        <v>13425.981</v>
      </c>
      <c r="H53" s="14">
        <v>8122.058</v>
      </c>
      <c r="I53" s="14">
        <v>7540.7650000000003</v>
      </c>
      <c r="J53" s="14">
        <v>7660.8770000000004</v>
      </c>
      <c r="K53" s="14">
        <v>7336.93</v>
      </c>
      <c r="L53" s="14">
        <v>2271.8249999999998</v>
      </c>
      <c r="M53" s="14">
        <v>2384.1669999999999</v>
      </c>
      <c r="N53" s="14">
        <v>2639.9859999999999</v>
      </c>
      <c r="O53" s="14">
        <v>2763.6880000000001</v>
      </c>
      <c r="P53" s="14">
        <v>2279.5169999999998</v>
      </c>
      <c r="Q53" s="14">
        <v>2472.6619999999998</v>
      </c>
      <c r="R53" s="14">
        <v>2467.4859999999999</v>
      </c>
      <c r="S53" s="14">
        <v>1975.4349999999999</v>
      </c>
      <c r="T53" s="14">
        <v>1758.2270000000001</v>
      </c>
      <c r="U53" s="14">
        <v>1627.127</v>
      </c>
      <c r="V53" s="14">
        <v>956.17700000000002</v>
      </c>
      <c r="W53" s="14">
        <v>1231.4929999999999</v>
      </c>
      <c r="X53" s="14">
        <v>1249.4670000000001</v>
      </c>
      <c r="Y53" s="14">
        <v>1176.307</v>
      </c>
      <c r="Z53" s="14">
        <v>961.42100000000005</v>
      </c>
      <c r="AA53" s="14">
        <v>1023.6420000000001</v>
      </c>
      <c r="AB53" s="14">
        <v>997.71699999999998</v>
      </c>
      <c r="AC53" s="14">
        <v>867.01700000000005</v>
      </c>
      <c r="AD53" s="14">
        <v>685.62</v>
      </c>
      <c r="AE53" s="14">
        <v>581.73400000000004</v>
      </c>
    </row>
    <row r="54" spans="1:31" ht="15" customHeight="1" outlineLevel="3">
      <c r="A54" s="22" t="s">
        <v>117</v>
      </c>
      <c r="B54" s="24">
        <v>11973</v>
      </c>
      <c r="C54" s="24">
        <v>11206</v>
      </c>
      <c r="D54" s="24">
        <v>10088.11</v>
      </c>
      <c r="E54" s="24">
        <v>9879.7060000000001</v>
      </c>
      <c r="F54" s="24">
        <v>10536.902</v>
      </c>
      <c r="G54" s="24">
        <v>12833.543</v>
      </c>
      <c r="H54" s="24">
        <v>8122.058</v>
      </c>
      <c r="I54" s="24">
        <v>7540.7650000000003</v>
      </c>
      <c r="J54" s="24">
        <v>7660.8770000000004</v>
      </c>
      <c r="K54" s="24">
        <v>7336.93</v>
      </c>
      <c r="L54" s="24">
        <v>2271.8249999999998</v>
      </c>
      <c r="M54" s="24">
        <v>2384.1669999999999</v>
      </c>
      <c r="N54" s="24">
        <v>2639.9859999999999</v>
      </c>
      <c r="O54" s="24">
        <v>2763.6880000000001</v>
      </c>
      <c r="P54" s="24">
        <v>2279.5169999999998</v>
      </c>
      <c r="Q54" s="24">
        <v>2472.6619999999998</v>
      </c>
      <c r="R54" s="24">
        <v>2467.4859999999999</v>
      </c>
      <c r="S54" s="24">
        <v>1975.4349999999999</v>
      </c>
      <c r="T54" s="24">
        <v>1758.2270000000001</v>
      </c>
      <c r="U54" s="24">
        <v>1627.127</v>
      </c>
      <c r="V54" s="24">
        <v>956.17700000000002</v>
      </c>
      <c r="W54" s="24">
        <v>1200.3599999999999</v>
      </c>
      <c r="X54" s="24">
        <v>1215.9390000000001</v>
      </c>
      <c r="Y54" s="24">
        <v>1171.6079999999999</v>
      </c>
      <c r="Z54" s="24">
        <v>961.42100000000005</v>
      </c>
      <c r="AA54" s="24">
        <v>1023.6420000000001</v>
      </c>
      <c r="AB54" s="24">
        <v>997.71699999999998</v>
      </c>
      <c r="AC54" s="24">
        <v>867.01700000000005</v>
      </c>
      <c r="AD54" s="24">
        <v>685.62</v>
      </c>
      <c r="AE54" s="24">
        <v>581.73400000000004</v>
      </c>
    </row>
    <row r="55" spans="1:31" ht="15" customHeight="1" outlineLevel="3">
      <c r="A55" s="20" t="s">
        <v>118</v>
      </c>
      <c r="B55" s="18">
        <v>1436</v>
      </c>
      <c r="C55" s="18">
        <v>1145</v>
      </c>
      <c r="D55" s="18">
        <v>916.15599999999995</v>
      </c>
      <c r="E55" s="18">
        <v>823.64200000000005</v>
      </c>
      <c r="F55" s="18">
        <v>685.76300000000003</v>
      </c>
      <c r="G55" s="18">
        <v>592.43799999999999</v>
      </c>
      <c r="H55" s="18">
        <v>0</v>
      </c>
      <c r="I55" s="18">
        <v>0</v>
      </c>
      <c r="J55" s="18">
        <v>0</v>
      </c>
      <c r="K55" s="18">
        <v>0</v>
      </c>
      <c r="L55" s="18">
        <v>0</v>
      </c>
      <c r="M55" s="18">
        <v>0</v>
      </c>
      <c r="N55" s="18">
        <v>0</v>
      </c>
      <c r="O55" s="18">
        <v>0</v>
      </c>
      <c r="P55" s="18">
        <v>0</v>
      </c>
      <c r="Q55" s="18">
        <v>0</v>
      </c>
      <c r="R55" s="18">
        <v>0</v>
      </c>
      <c r="S55" s="18">
        <v>0</v>
      </c>
      <c r="T55" s="18">
        <v>0</v>
      </c>
      <c r="U55" s="18">
        <v>0</v>
      </c>
      <c r="V55" s="18">
        <v>0</v>
      </c>
      <c r="W55" s="18">
        <v>31.132999999999999</v>
      </c>
      <c r="X55" s="18">
        <v>33.527999999999999</v>
      </c>
      <c r="Y55" s="18">
        <v>4.6989999999999998</v>
      </c>
      <c r="Z55" s="18">
        <v>0</v>
      </c>
      <c r="AA55" s="18">
        <v>0</v>
      </c>
      <c r="AB55" s="18">
        <v>0</v>
      </c>
      <c r="AC55" s="18">
        <v>0</v>
      </c>
      <c r="AD55" s="18">
        <v>0</v>
      </c>
      <c r="AE55" s="18">
        <v>0</v>
      </c>
    </row>
    <row r="56" spans="1:31" ht="15" customHeight="1" outlineLevel="2">
      <c r="A56" s="29" t="s">
        <v>310</v>
      </c>
      <c r="B56" s="24">
        <v>509</v>
      </c>
      <c r="C56" s="24">
        <v>498</v>
      </c>
      <c r="D56" s="24">
        <v>415.15499999999997</v>
      </c>
      <c r="E56" s="24">
        <v>400.82600000000002</v>
      </c>
      <c r="F56" s="24">
        <v>552.31100000000004</v>
      </c>
      <c r="G56" s="24">
        <v>724.41399999999999</v>
      </c>
      <c r="H56" s="24">
        <v>662.50800000000004</v>
      </c>
      <c r="I56" s="24">
        <v>548.92700000000002</v>
      </c>
      <c r="J56" s="24">
        <v>1011.917</v>
      </c>
      <c r="K56" s="24">
        <v>1140.2550000000001</v>
      </c>
      <c r="L56" s="24">
        <v>648.05600000000004</v>
      </c>
      <c r="M56" s="24">
        <v>708.47699999999998</v>
      </c>
      <c r="N56" s="24">
        <v>545.83199999999999</v>
      </c>
      <c r="O56" s="24">
        <v>907.29499999999996</v>
      </c>
      <c r="P56" s="24">
        <v>398.39699999999999</v>
      </c>
      <c r="Q56" s="24">
        <v>531.88599999999997</v>
      </c>
      <c r="R56" s="24">
        <v>322.65800000000002</v>
      </c>
      <c r="S56" s="24">
        <v>315.32799999999997</v>
      </c>
      <c r="T56" s="24">
        <v>323.65800000000002</v>
      </c>
      <c r="U56" s="24">
        <v>0</v>
      </c>
      <c r="V56" s="24">
        <v>0</v>
      </c>
      <c r="W56" s="24">
        <v>0</v>
      </c>
      <c r="X56" s="24">
        <v>289.99799999999999</v>
      </c>
      <c r="Y56" s="24">
        <v>0</v>
      </c>
      <c r="Z56" s="24">
        <v>0</v>
      </c>
      <c r="AA56" s="24">
        <v>0</v>
      </c>
      <c r="AB56" s="23"/>
      <c r="AC56" s="23"/>
      <c r="AD56" s="23"/>
      <c r="AE56" s="24">
        <v>0</v>
      </c>
    </row>
    <row r="57" spans="1:31" ht="15" customHeight="1" outlineLevel="2">
      <c r="A57" s="17" t="s">
        <v>311</v>
      </c>
      <c r="B57" s="18">
        <v>345</v>
      </c>
      <c r="C57" s="18">
        <v>345</v>
      </c>
      <c r="D57" s="18">
        <v>302.904</v>
      </c>
      <c r="E57" s="18">
        <v>250.17099999999999</v>
      </c>
      <c r="F57" s="18">
        <v>147.066</v>
      </c>
      <c r="G57" s="18">
        <v>86.600999999999999</v>
      </c>
      <c r="H57" s="18">
        <v>172.232</v>
      </c>
      <c r="I57" s="18">
        <v>319.12400000000002</v>
      </c>
      <c r="J57" s="18">
        <v>161.715</v>
      </c>
      <c r="K57" s="18">
        <v>26.942</v>
      </c>
      <c r="L57" s="18">
        <v>81.590999999999994</v>
      </c>
      <c r="M57" s="18">
        <v>121.58</v>
      </c>
      <c r="N57" s="18">
        <v>266.22199999999998</v>
      </c>
      <c r="O57" s="18">
        <v>115.166</v>
      </c>
      <c r="P57" s="18">
        <v>204.22300000000001</v>
      </c>
      <c r="Q57" s="18">
        <v>271.512</v>
      </c>
      <c r="R57" s="18">
        <v>526.37699999999995</v>
      </c>
      <c r="S57" s="18">
        <v>540.33000000000004</v>
      </c>
      <c r="T57" s="18">
        <v>626.69500000000005</v>
      </c>
      <c r="U57" s="18">
        <v>723.34900000000005</v>
      </c>
      <c r="V57" s="18">
        <v>724.92899999999997</v>
      </c>
      <c r="W57" s="18">
        <v>686.70500000000004</v>
      </c>
      <c r="X57" s="18">
        <v>498.39600000000002</v>
      </c>
      <c r="Y57" s="18">
        <v>441.57</v>
      </c>
      <c r="Z57" s="18">
        <v>269.685</v>
      </c>
      <c r="AA57" s="18">
        <v>245.81</v>
      </c>
      <c r="AB57" s="18">
        <v>244.12899999999999</v>
      </c>
      <c r="AC57" s="21"/>
      <c r="AD57" s="21"/>
      <c r="AE57" s="21"/>
    </row>
    <row r="58" spans="1:31" ht="15" customHeight="1" outlineLevel="2">
      <c r="A58" s="19" t="s">
        <v>312</v>
      </c>
      <c r="B58" s="16">
        <v>738</v>
      </c>
      <c r="C58" s="16">
        <v>591</v>
      </c>
      <c r="D58" s="16">
        <v>516.553</v>
      </c>
      <c r="E58" s="16">
        <v>567.08100000000002</v>
      </c>
      <c r="F58" s="16">
        <v>584.16899999999998</v>
      </c>
      <c r="G58" s="16">
        <v>480.53899999999999</v>
      </c>
      <c r="H58" s="16">
        <v>368.512</v>
      </c>
      <c r="I58" s="16">
        <v>528.23599999999999</v>
      </c>
      <c r="J58" s="16">
        <v>361.90499999999997</v>
      </c>
      <c r="K58" s="16">
        <v>228.227</v>
      </c>
      <c r="L58" s="16">
        <v>286.666</v>
      </c>
      <c r="M58" s="16">
        <v>319.40100000000001</v>
      </c>
      <c r="N58" s="16">
        <v>270.815</v>
      </c>
      <c r="O58" s="16">
        <v>200.20400000000001</v>
      </c>
      <c r="P58" s="16">
        <v>223.101</v>
      </c>
      <c r="Q58" s="16">
        <v>200.917</v>
      </c>
      <c r="R58" s="16">
        <v>300.24200000000002</v>
      </c>
      <c r="S58" s="16">
        <v>342.87099999999998</v>
      </c>
      <c r="T58" s="16">
        <v>116.86199999999999</v>
      </c>
      <c r="U58" s="16">
        <v>362.86200000000002</v>
      </c>
      <c r="V58" s="16">
        <v>370.387</v>
      </c>
      <c r="W58" s="16">
        <v>238.29400000000001</v>
      </c>
      <c r="X58" s="16">
        <v>0</v>
      </c>
      <c r="Y58" s="16">
        <v>0</v>
      </c>
      <c r="Z58" s="16">
        <v>0</v>
      </c>
      <c r="AA58" s="16">
        <v>0</v>
      </c>
      <c r="AB58" s="16">
        <v>0</v>
      </c>
      <c r="AC58" s="16">
        <v>232.19300000000001</v>
      </c>
      <c r="AD58" s="16">
        <v>236.70500000000001</v>
      </c>
      <c r="AE58" s="16">
        <v>231.46899999999999</v>
      </c>
    </row>
    <row r="59" spans="1:31" ht="15" customHeight="1" outlineLevel="3">
      <c r="A59" s="20" t="s">
        <v>313</v>
      </c>
      <c r="B59" s="18">
        <v>738</v>
      </c>
      <c r="C59" s="18">
        <v>591</v>
      </c>
      <c r="D59" s="18">
        <v>516.553</v>
      </c>
      <c r="E59" s="18">
        <v>567.08100000000002</v>
      </c>
      <c r="F59" s="18">
        <v>584.16899999999998</v>
      </c>
      <c r="G59" s="18">
        <v>480.53899999999999</v>
      </c>
      <c r="H59" s="18">
        <v>368.512</v>
      </c>
      <c r="I59" s="18">
        <v>528.23599999999999</v>
      </c>
      <c r="J59" s="18">
        <v>361.90499999999997</v>
      </c>
      <c r="K59" s="18">
        <v>228.227</v>
      </c>
      <c r="L59" s="18">
        <v>286.666</v>
      </c>
      <c r="M59" s="18">
        <v>319.40100000000001</v>
      </c>
      <c r="N59" s="18">
        <v>270.815</v>
      </c>
      <c r="O59" s="18">
        <v>200.20400000000001</v>
      </c>
      <c r="P59" s="18">
        <v>223.101</v>
      </c>
      <c r="Q59" s="18">
        <v>200.917</v>
      </c>
      <c r="R59" s="18">
        <v>300.24200000000002</v>
      </c>
      <c r="S59" s="18">
        <v>342.87099999999998</v>
      </c>
      <c r="T59" s="18">
        <v>116.86199999999999</v>
      </c>
      <c r="U59" s="18">
        <v>362.86200000000002</v>
      </c>
      <c r="V59" s="18">
        <v>370.387</v>
      </c>
      <c r="W59" s="18">
        <v>238.29400000000001</v>
      </c>
      <c r="X59" s="18">
        <v>0</v>
      </c>
      <c r="Y59" s="18">
        <v>0</v>
      </c>
      <c r="Z59" s="18">
        <v>0</v>
      </c>
      <c r="AA59" s="18">
        <v>0</v>
      </c>
      <c r="AB59" s="18">
        <v>0</v>
      </c>
      <c r="AC59" s="18">
        <v>232.19300000000001</v>
      </c>
      <c r="AD59" s="18">
        <v>236.70500000000001</v>
      </c>
      <c r="AE59" s="18">
        <v>231.46899999999999</v>
      </c>
    </row>
    <row r="60" spans="1:31" ht="15" customHeight="1" outlineLevel="2">
      <c r="A60" s="29" t="s">
        <v>314</v>
      </c>
      <c r="B60" s="24">
        <v>24917</v>
      </c>
      <c r="C60" s="24">
        <v>23026</v>
      </c>
      <c r="D60" s="24">
        <v>20779.311000000002</v>
      </c>
      <c r="E60" s="24">
        <v>20671.48</v>
      </c>
      <c r="F60" s="24">
        <v>19826.055</v>
      </c>
      <c r="G60" s="24">
        <v>21435.387999999999</v>
      </c>
      <c r="H60" s="24">
        <v>15428.493</v>
      </c>
      <c r="I60" s="24">
        <v>15525.798000000001</v>
      </c>
      <c r="J60" s="24">
        <v>15292.3</v>
      </c>
      <c r="K60" s="24">
        <v>13166.81</v>
      </c>
      <c r="L60" s="24">
        <v>12687.753000000001</v>
      </c>
      <c r="M60" s="24">
        <v>7901.2550000000001</v>
      </c>
      <c r="N60" s="24">
        <v>7472.1369999999997</v>
      </c>
      <c r="O60" s="24">
        <v>7409.9319999999998</v>
      </c>
      <c r="P60" s="24">
        <v>6680.3130000000001</v>
      </c>
      <c r="Q60" s="24">
        <v>6486.1750000000002</v>
      </c>
      <c r="R60" s="24">
        <v>6766.9170000000004</v>
      </c>
      <c r="S60" s="24">
        <v>6673.3069999999998</v>
      </c>
      <c r="T60" s="24">
        <v>6240.5309999999999</v>
      </c>
      <c r="U60" s="24">
        <v>5939.741</v>
      </c>
      <c r="V60" s="24">
        <v>5509.0630000000001</v>
      </c>
      <c r="W60" s="24">
        <v>5283.1260000000002</v>
      </c>
      <c r="X60" s="24">
        <v>4738.99</v>
      </c>
      <c r="Y60" s="24">
        <v>3857.2339999999999</v>
      </c>
      <c r="Z60" s="24">
        <v>3321.0010000000002</v>
      </c>
      <c r="AA60" s="24">
        <v>3052.3870000000002</v>
      </c>
      <c r="AB60" s="24">
        <v>2669.386</v>
      </c>
      <c r="AC60" s="24">
        <v>2423.4</v>
      </c>
      <c r="AD60" s="24">
        <v>2036.1389999999999</v>
      </c>
      <c r="AE60" s="24">
        <v>1850.7270000000001</v>
      </c>
    </row>
    <row r="61" spans="1:31" ht="15" customHeight="1" outlineLevel="1">
      <c r="A61" s="30" t="s">
        <v>315</v>
      </c>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row>
    <row r="62" spans="1:31" ht="15" customHeight="1" outlineLevel="2">
      <c r="A62" s="19" t="s">
        <v>316</v>
      </c>
      <c r="B62" s="16">
        <v>1830</v>
      </c>
      <c r="C62" s="16">
        <v>1860</v>
      </c>
      <c r="D62" s="16">
        <v>2008.6220000000001</v>
      </c>
      <c r="E62" s="16">
        <v>1382.26</v>
      </c>
      <c r="F62" s="16">
        <v>1552.896</v>
      </c>
      <c r="G62" s="16">
        <v>1158.6130000000001</v>
      </c>
      <c r="H62" s="16">
        <v>2502.6030000000001</v>
      </c>
      <c r="I62" s="16">
        <v>2506.9569999999999</v>
      </c>
      <c r="J62" s="16">
        <v>2381.5160000000001</v>
      </c>
      <c r="K62" s="16">
        <v>3479.6080000000002</v>
      </c>
      <c r="L62" s="16">
        <v>5260.2240000000002</v>
      </c>
      <c r="M62" s="16">
        <v>5266.6949999999997</v>
      </c>
      <c r="N62" s="16">
        <v>5191.8100000000004</v>
      </c>
      <c r="O62" s="16">
        <v>4685.04</v>
      </c>
      <c r="P62" s="16">
        <v>4705.2420000000002</v>
      </c>
      <c r="Q62" s="16">
        <v>3827.5259999999998</v>
      </c>
      <c r="R62" s="16">
        <v>3449.7020000000002</v>
      </c>
      <c r="S62" s="16">
        <v>3408.9859999999999</v>
      </c>
      <c r="T62" s="16">
        <v>3278.4</v>
      </c>
      <c r="U62" s="16">
        <v>3052.2840000000001</v>
      </c>
      <c r="V62" s="16">
        <v>2758.8389999999999</v>
      </c>
      <c r="W62" s="16">
        <v>2564.5059999999999</v>
      </c>
      <c r="X62" s="16">
        <v>2197.5309999999999</v>
      </c>
      <c r="Y62" s="16">
        <v>2132.5189999999998</v>
      </c>
      <c r="Z62" s="16">
        <v>2147.52</v>
      </c>
      <c r="AA62" s="16">
        <v>1761.568</v>
      </c>
      <c r="AB62" s="16">
        <v>1427.1959999999999</v>
      </c>
      <c r="AC62" s="16">
        <v>1356.789</v>
      </c>
      <c r="AD62" s="16">
        <v>1400.472</v>
      </c>
      <c r="AE62" s="16">
        <v>1474.6780000000001</v>
      </c>
    </row>
    <row r="63" spans="1:31" ht="15" customHeight="1" outlineLevel="3">
      <c r="A63" s="20" t="s">
        <v>317</v>
      </c>
      <c r="B63" s="18">
        <v>765</v>
      </c>
      <c r="C63" s="18">
        <v>765</v>
      </c>
      <c r="D63" s="18">
        <v>765.17499999999995</v>
      </c>
      <c r="E63" s="18">
        <v>765.17499999999995</v>
      </c>
      <c r="F63" s="18">
        <v>765.17499999999995</v>
      </c>
      <c r="G63" s="18">
        <v>765.17499999999995</v>
      </c>
      <c r="H63" s="18">
        <v>765.17499999999995</v>
      </c>
      <c r="I63" s="18">
        <v>765.17499999999995</v>
      </c>
      <c r="J63" s="18">
        <v>765.17499999999995</v>
      </c>
      <c r="K63" s="18">
        <v>765.17499999999995</v>
      </c>
      <c r="L63" s="18">
        <v>765.17499999999995</v>
      </c>
      <c r="M63" s="18">
        <v>765.17499999999995</v>
      </c>
      <c r="N63" s="18">
        <v>765.17499999999995</v>
      </c>
      <c r="O63" s="18">
        <v>765.17499999999995</v>
      </c>
      <c r="P63" s="18">
        <v>765.17499999999995</v>
      </c>
      <c r="Q63" s="18">
        <v>765.17499999999995</v>
      </c>
      <c r="R63" s="18">
        <v>765.17499999999995</v>
      </c>
      <c r="S63" s="18">
        <v>765.17499999999995</v>
      </c>
      <c r="T63" s="18">
        <v>765.17499999999995</v>
      </c>
      <c r="U63" s="18">
        <v>765.17499999999995</v>
      </c>
      <c r="V63" s="18">
        <v>765.17499999999995</v>
      </c>
      <c r="W63" s="18">
        <v>765.17499999999995</v>
      </c>
      <c r="X63" s="18">
        <v>765.17499999999995</v>
      </c>
      <c r="Y63" s="18">
        <v>765.17499999999995</v>
      </c>
      <c r="Z63" s="18">
        <v>765.17499999999995</v>
      </c>
      <c r="AA63" s="18">
        <v>382.58699999999999</v>
      </c>
      <c r="AB63" s="18">
        <v>382.58699999999999</v>
      </c>
      <c r="AC63" s="18">
        <v>382.58699999999999</v>
      </c>
      <c r="AD63" s="18">
        <v>191.29400000000001</v>
      </c>
      <c r="AE63" s="18">
        <v>191.29400000000001</v>
      </c>
    </row>
    <row r="64" spans="1:31" ht="15" customHeight="1" outlineLevel="3">
      <c r="A64" s="22" t="s">
        <v>318</v>
      </c>
      <c r="B64" s="24">
        <v>1986</v>
      </c>
      <c r="C64" s="24">
        <v>1908</v>
      </c>
      <c r="D64" s="24">
        <v>1814.681</v>
      </c>
      <c r="E64" s="24">
        <v>1766.3050000000001</v>
      </c>
      <c r="F64" s="24">
        <v>1619.9949999999999</v>
      </c>
      <c r="G64" s="24">
        <v>1506.9010000000001</v>
      </c>
      <c r="H64" s="24">
        <v>1457.4190000000001</v>
      </c>
      <c r="I64" s="24">
        <v>1383.6189999999999</v>
      </c>
      <c r="J64" s="24">
        <v>1327.366</v>
      </c>
      <c r="K64" s="24">
        <v>1281.1400000000001</v>
      </c>
      <c r="L64" s="24">
        <v>1213.999</v>
      </c>
      <c r="M64" s="24">
        <v>1139.2180000000001</v>
      </c>
      <c r="N64" s="24">
        <v>1059.624</v>
      </c>
      <c r="O64" s="24">
        <v>939.17899999999997</v>
      </c>
      <c r="P64" s="24">
        <v>887.75400000000002</v>
      </c>
      <c r="Q64" s="24">
        <v>816.83299999999997</v>
      </c>
      <c r="R64" s="24">
        <v>760.35199999999998</v>
      </c>
      <c r="S64" s="24">
        <v>712.20799999999997</v>
      </c>
      <c r="T64" s="24">
        <v>637.154</v>
      </c>
      <c r="U64" s="24">
        <v>525.68399999999997</v>
      </c>
      <c r="V64" s="24">
        <v>389.053</v>
      </c>
      <c r="W64" s="24">
        <v>332.041</v>
      </c>
      <c r="X64" s="24">
        <v>249.23500000000001</v>
      </c>
      <c r="Y64" s="24">
        <v>217.89099999999999</v>
      </c>
      <c r="Z64" s="24">
        <v>186.81800000000001</v>
      </c>
      <c r="AA64" s="24">
        <v>76.966999999999999</v>
      </c>
      <c r="AB64" s="24">
        <v>0.872</v>
      </c>
      <c r="AC64" s="23"/>
      <c r="AD64" s="24">
        <v>32.258000000000003</v>
      </c>
      <c r="AE64" s="24">
        <v>35.179000000000002</v>
      </c>
    </row>
    <row r="65" spans="1:31" ht="15" customHeight="1" outlineLevel="3">
      <c r="A65" s="20" t="s">
        <v>319</v>
      </c>
      <c r="B65" s="18">
        <v>13061</v>
      </c>
      <c r="C65" s="18">
        <v>12260</v>
      </c>
      <c r="D65" s="18">
        <v>11310.664000000001</v>
      </c>
      <c r="E65" s="18">
        <v>10539.722</v>
      </c>
      <c r="F65" s="18">
        <v>10151.706</v>
      </c>
      <c r="G65" s="18">
        <v>10563.008</v>
      </c>
      <c r="H65" s="18">
        <v>11229.679</v>
      </c>
      <c r="I65" s="18">
        <v>10348.628000000001</v>
      </c>
      <c r="J65" s="18">
        <v>9447.7549999999992</v>
      </c>
      <c r="K65" s="18">
        <v>9006.1380000000008</v>
      </c>
      <c r="L65" s="18">
        <v>8751.9850000000006</v>
      </c>
      <c r="M65" s="18">
        <v>8770.7510000000002</v>
      </c>
      <c r="N65" s="18">
        <v>8512.7860000000001</v>
      </c>
      <c r="O65" s="18">
        <v>8175.23</v>
      </c>
      <c r="P65" s="18">
        <v>7681.6689999999999</v>
      </c>
      <c r="Q65" s="18">
        <v>7134.1390000000001</v>
      </c>
      <c r="R65" s="18">
        <v>6539.89</v>
      </c>
      <c r="S65" s="18">
        <v>6041.4290000000001</v>
      </c>
      <c r="T65" s="18">
        <v>5544.0780000000004</v>
      </c>
      <c r="U65" s="18">
        <v>4999.4399999999996</v>
      </c>
      <c r="V65" s="18">
        <v>4552.3789999999999</v>
      </c>
      <c r="W65" s="18">
        <v>3959.7139999999999</v>
      </c>
      <c r="X65" s="18">
        <v>3373.8530000000001</v>
      </c>
      <c r="Y65" s="18">
        <v>2869.4169999999999</v>
      </c>
      <c r="Z65" s="18">
        <v>2462.145</v>
      </c>
      <c r="AA65" s="18">
        <v>2332.2379999999998</v>
      </c>
      <c r="AB65" s="18">
        <v>2032.068</v>
      </c>
      <c r="AC65" s="18">
        <v>1796.4880000000001</v>
      </c>
      <c r="AD65" s="18">
        <v>1771.548</v>
      </c>
      <c r="AE65" s="18">
        <v>1568.5889999999999</v>
      </c>
    </row>
    <row r="66" spans="1:31" ht="15" customHeight="1" outlineLevel="3">
      <c r="A66" s="22" t="s">
        <v>320</v>
      </c>
      <c r="B66" s="27">
        <v>-120</v>
      </c>
      <c r="C66" s="27">
        <v>-407</v>
      </c>
      <c r="D66" s="27">
        <v>-374.29</v>
      </c>
      <c r="E66" s="27">
        <v>-501.517</v>
      </c>
      <c r="F66" s="27">
        <v>-40.091999999999999</v>
      </c>
      <c r="G66" s="27">
        <v>-402.38400000000001</v>
      </c>
      <c r="H66" s="27">
        <v>-290.16899999999998</v>
      </c>
      <c r="I66" s="27">
        <v>-171.04300000000001</v>
      </c>
      <c r="J66" s="27">
        <v>-148.05600000000001</v>
      </c>
      <c r="K66" s="27">
        <v>-136.81299999999999</v>
      </c>
      <c r="L66" s="27">
        <v>-97.733000000000004</v>
      </c>
      <c r="M66" s="24">
        <v>134.452</v>
      </c>
      <c r="N66" s="24">
        <v>137.55799999999999</v>
      </c>
      <c r="O66" s="24">
        <v>170.749</v>
      </c>
      <c r="P66" s="24">
        <v>251.75200000000001</v>
      </c>
      <c r="Q66" s="24">
        <v>129.535</v>
      </c>
      <c r="R66" s="24">
        <v>79.561999999999998</v>
      </c>
      <c r="S66" s="24">
        <v>164.01400000000001</v>
      </c>
      <c r="T66" s="24">
        <v>133.5</v>
      </c>
      <c r="U66" s="24">
        <v>108.44799999999999</v>
      </c>
      <c r="V66" s="24">
        <v>60.73</v>
      </c>
      <c r="W66" s="23"/>
      <c r="X66" s="23"/>
      <c r="Y66" s="23"/>
      <c r="Z66" s="23"/>
      <c r="AA66" s="23"/>
      <c r="AB66" s="23"/>
      <c r="AC66" s="23"/>
      <c r="AD66" s="23"/>
      <c r="AE66" s="23"/>
    </row>
    <row r="67" spans="1:31" ht="15" customHeight="1" outlineLevel="3">
      <c r="A67" s="20" t="s">
        <v>321</v>
      </c>
      <c r="B67" s="28">
        <v>-1</v>
      </c>
      <c r="C67" s="28">
        <v>-5</v>
      </c>
      <c r="D67" s="28">
        <v>-6.7930000000000001</v>
      </c>
      <c r="E67" s="28">
        <v>-4.9720000000000004</v>
      </c>
      <c r="F67" s="18">
        <v>4.415</v>
      </c>
      <c r="G67" s="18">
        <v>7.0949999999999998</v>
      </c>
      <c r="H67" s="18">
        <v>2.827</v>
      </c>
      <c r="I67" s="18">
        <v>0</v>
      </c>
      <c r="J67" s="18">
        <v>0</v>
      </c>
      <c r="K67" s="18">
        <v>0</v>
      </c>
      <c r="L67" s="18">
        <v>0</v>
      </c>
      <c r="M67" s="18">
        <v>0</v>
      </c>
      <c r="N67" s="18">
        <v>0</v>
      </c>
      <c r="O67" s="18">
        <v>0</v>
      </c>
      <c r="P67" s="18">
        <v>0</v>
      </c>
      <c r="Q67" s="18">
        <v>0</v>
      </c>
      <c r="R67" s="18">
        <v>0</v>
      </c>
      <c r="S67" s="18">
        <v>0</v>
      </c>
      <c r="T67" s="18">
        <v>0</v>
      </c>
      <c r="U67" s="18">
        <v>0</v>
      </c>
      <c r="V67" s="18">
        <v>0</v>
      </c>
      <c r="W67" s="18">
        <v>0</v>
      </c>
      <c r="X67" s="18">
        <v>0</v>
      </c>
      <c r="Y67" s="18">
        <v>0</v>
      </c>
      <c r="Z67" s="18">
        <v>0</v>
      </c>
      <c r="AA67" s="18">
        <v>0</v>
      </c>
      <c r="AB67" s="18">
        <v>0</v>
      </c>
      <c r="AC67" s="18">
        <v>0</v>
      </c>
      <c r="AD67" s="18">
        <v>0</v>
      </c>
      <c r="AE67" s="18">
        <v>0</v>
      </c>
    </row>
    <row r="68" spans="1:31" ht="15" customHeight="1" outlineLevel="3">
      <c r="A68" s="22" t="s">
        <v>322</v>
      </c>
      <c r="B68" s="27">
        <v>-977</v>
      </c>
      <c r="C68" s="27">
        <v>-927</v>
      </c>
      <c r="D68" s="27">
        <v>-871.50699999999995</v>
      </c>
      <c r="E68" s="27">
        <v>-975.56500000000005</v>
      </c>
      <c r="F68" s="27">
        <v>-1113.087</v>
      </c>
      <c r="G68" s="27">
        <v>-1315.5920000000001</v>
      </c>
      <c r="H68" s="27">
        <v>-1312.3869999999999</v>
      </c>
      <c r="I68" s="27">
        <v>-1238.2260000000001</v>
      </c>
      <c r="J68" s="27">
        <v>-1114.681</v>
      </c>
      <c r="K68" s="27">
        <v>-1221.3050000000001</v>
      </c>
      <c r="L68" s="27">
        <v>-825.46400000000006</v>
      </c>
      <c r="M68" s="27">
        <v>-777.11500000000001</v>
      </c>
      <c r="N68" s="27">
        <v>-584.495</v>
      </c>
      <c r="O68" s="27">
        <v>-833.61500000000001</v>
      </c>
      <c r="P68" s="27">
        <v>-511.71</v>
      </c>
      <c r="Q68" s="27">
        <v>-609.78599999999994</v>
      </c>
      <c r="R68" s="27">
        <v>-357.548</v>
      </c>
      <c r="S68" s="27">
        <v>-232.78200000000001</v>
      </c>
      <c r="T68" s="27">
        <v>-137.56100000000001</v>
      </c>
      <c r="U68" s="27">
        <v>-23.83</v>
      </c>
      <c r="V68" s="27">
        <v>-74.406999999999996</v>
      </c>
      <c r="W68" s="23"/>
      <c r="X68" s="23"/>
      <c r="Y68" s="27">
        <v>-65.435000000000002</v>
      </c>
      <c r="Z68" s="27">
        <v>-5.6239999999999997</v>
      </c>
      <c r="AA68" s="23"/>
      <c r="AB68" s="23"/>
      <c r="AC68" s="23"/>
      <c r="AD68" s="23"/>
      <c r="AE68" s="23"/>
    </row>
    <row r="69" spans="1:31" ht="15" customHeight="1" outlineLevel="3">
      <c r="A69" s="20" t="s">
        <v>323</v>
      </c>
      <c r="B69" s="28">
        <v>-12884</v>
      </c>
      <c r="C69" s="28">
        <v>-11734</v>
      </c>
      <c r="D69" s="28">
        <v>-10629.308000000001</v>
      </c>
      <c r="E69" s="28">
        <v>-10206.888000000001</v>
      </c>
      <c r="F69" s="28">
        <v>-9835.2160000000003</v>
      </c>
      <c r="G69" s="28">
        <v>-9965.59</v>
      </c>
      <c r="H69" s="28">
        <v>-9349.9410000000007</v>
      </c>
      <c r="I69" s="28">
        <v>-8581.1959999999999</v>
      </c>
      <c r="J69" s="28">
        <v>-7896.0429999999997</v>
      </c>
      <c r="K69" s="28">
        <v>-6214.7269999999999</v>
      </c>
      <c r="L69" s="28">
        <v>-4547.7380000000003</v>
      </c>
      <c r="M69" s="28">
        <v>-4765.7860000000001</v>
      </c>
      <c r="N69" s="28">
        <v>-4698.8379999999997</v>
      </c>
      <c r="O69" s="28">
        <v>-4531.6779999999999</v>
      </c>
      <c r="P69" s="28">
        <v>-4369.3980000000001</v>
      </c>
      <c r="Q69" s="28">
        <v>-4408.37</v>
      </c>
      <c r="R69" s="28">
        <v>-4337.7290000000003</v>
      </c>
      <c r="S69" s="28">
        <v>-4041.058</v>
      </c>
      <c r="T69" s="28">
        <v>-3663.9459999999999</v>
      </c>
      <c r="U69" s="28">
        <v>-3322.6329999999998</v>
      </c>
      <c r="V69" s="28">
        <v>-2934.0909999999999</v>
      </c>
      <c r="W69" s="28">
        <v>-2510.0639999999999</v>
      </c>
      <c r="X69" s="28">
        <v>-2038.3510000000001</v>
      </c>
      <c r="Y69" s="28">
        <v>-1654.529</v>
      </c>
      <c r="Z69" s="28">
        <v>-1260.9939999999999</v>
      </c>
      <c r="AA69" s="28">
        <v>-1030.2239999999999</v>
      </c>
      <c r="AB69" s="28">
        <v>-988.33100000000002</v>
      </c>
      <c r="AC69" s="28">
        <v>-822.28599999999994</v>
      </c>
      <c r="AD69" s="28">
        <v>-594.62800000000004</v>
      </c>
      <c r="AE69" s="28">
        <v>-320.38400000000001</v>
      </c>
    </row>
    <row r="70" spans="1:31" ht="15" customHeight="1" outlineLevel="2">
      <c r="A70" s="29" t="s">
        <v>324</v>
      </c>
      <c r="B70" s="24">
        <v>1830</v>
      </c>
      <c r="C70" s="24">
        <v>1860</v>
      </c>
      <c r="D70" s="24">
        <v>2008.6220000000001</v>
      </c>
      <c r="E70" s="24">
        <v>1382.26</v>
      </c>
      <c r="F70" s="24">
        <v>1552.896</v>
      </c>
      <c r="G70" s="24">
        <v>1158.6130000000001</v>
      </c>
      <c r="H70" s="24">
        <v>2502.6030000000001</v>
      </c>
      <c r="I70" s="24">
        <v>2506.9569999999999</v>
      </c>
      <c r="J70" s="24">
        <v>2381.5160000000001</v>
      </c>
      <c r="K70" s="24">
        <v>3479.6080000000002</v>
      </c>
      <c r="L70" s="24">
        <v>5260.2240000000002</v>
      </c>
      <c r="M70" s="24">
        <v>5266.6949999999997</v>
      </c>
      <c r="N70" s="24">
        <v>5191.8100000000004</v>
      </c>
      <c r="O70" s="24">
        <v>4685.04</v>
      </c>
      <c r="P70" s="24">
        <v>4705.2420000000002</v>
      </c>
      <c r="Q70" s="24">
        <v>3827.5259999999998</v>
      </c>
      <c r="R70" s="24">
        <v>3449.7020000000002</v>
      </c>
      <c r="S70" s="24">
        <v>3408.9859999999999</v>
      </c>
      <c r="T70" s="24">
        <v>3278.4</v>
      </c>
      <c r="U70" s="24">
        <v>3052.2840000000001</v>
      </c>
      <c r="V70" s="24">
        <v>2758.8389999999999</v>
      </c>
      <c r="W70" s="24">
        <v>2564.5059999999999</v>
      </c>
      <c r="X70" s="24">
        <v>2197.5309999999999</v>
      </c>
      <c r="Y70" s="24">
        <v>2132.5189999999998</v>
      </c>
      <c r="Z70" s="24">
        <v>2147.52</v>
      </c>
      <c r="AA70" s="24">
        <v>1761.568</v>
      </c>
      <c r="AB70" s="24">
        <v>1427.1959999999999</v>
      </c>
      <c r="AC70" s="24">
        <v>1356.789</v>
      </c>
      <c r="AD70" s="24">
        <v>1400.472</v>
      </c>
      <c r="AE70" s="24">
        <v>1474.6780000000001</v>
      </c>
    </row>
    <row r="71" spans="1:31" ht="15" customHeight="1" outlineLevel="2">
      <c r="A71" s="17" t="s">
        <v>325</v>
      </c>
      <c r="B71" s="18">
        <v>27</v>
      </c>
      <c r="C71" s="18">
        <v>31</v>
      </c>
      <c r="D71" s="18">
        <v>33.212000000000003</v>
      </c>
      <c r="E71" s="18">
        <v>31.948</v>
      </c>
      <c r="F71" s="18">
        <v>34.588000000000001</v>
      </c>
      <c r="G71" s="18">
        <v>34.265000000000001</v>
      </c>
      <c r="H71" s="18">
        <v>35.426000000000002</v>
      </c>
      <c r="I71" s="18">
        <v>37.649000000000001</v>
      </c>
      <c r="J71" s="18">
        <v>82.838999999999999</v>
      </c>
      <c r="K71" s="18">
        <v>75.385999999999996</v>
      </c>
      <c r="L71" s="18">
        <v>41.304000000000002</v>
      </c>
      <c r="M71" s="18">
        <v>0</v>
      </c>
      <c r="N71" s="18">
        <v>0</v>
      </c>
      <c r="O71" s="18">
        <v>0</v>
      </c>
      <c r="P71" s="18">
        <v>0</v>
      </c>
      <c r="Q71" s="18">
        <v>0</v>
      </c>
      <c r="R71" s="18">
        <v>0</v>
      </c>
      <c r="S71" s="18">
        <v>0</v>
      </c>
      <c r="T71" s="18">
        <v>0</v>
      </c>
      <c r="U71" s="18">
        <v>0</v>
      </c>
      <c r="V71" s="18">
        <v>0</v>
      </c>
      <c r="W71" s="18">
        <v>0</v>
      </c>
      <c r="X71" s="18">
        <v>0</v>
      </c>
      <c r="Y71" s="18">
        <v>0</v>
      </c>
      <c r="Z71" s="18">
        <v>0</v>
      </c>
      <c r="AA71" s="18">
        <v>0</v>
      </c>
      <c r="AB71" s="18">
        <v>0</v>
      </c>
      <c r="AC71" s="18">
        <v>0</v>
      </c>
      <c r="AD71" s="18">
        <v>0</v>
      </c>
      <c r="AE71" s="18">
        <v>0</v>
      </c>
    </row>
    <row r="72" spans="1:31" ht="15" customHeight="1" outlineLevel="2">
      <c r="A72" s="29" t="s">
        <v>326</v>
      </c>
      <c r="B72" s="24">
        <v>1857</v>
      </c>
      <c r="C72" s="24">
        <v>1891</v>
      </c>
      <c r="D72" s="24">
        <v>2041.8340000000001</v>
      </c>
      <c r="E72" s="24">
        <v>1414.2080000000001</v>
      </c>
      <c r="F72" s="24">
        <v>1587.4839999999999</v>
      </c>
      <c r="G72" s="24">
        <v>1192.8779999999999</v>
      </c>
      <c r="H72" s="24">
        <v>2538.029</v>
      </c>
      <c r="I72" s="24">
        <v>2544.6060000000002</v>
      </c>
      <c r="J72" s="24">
        <v>2464.355</v>
      </c>
      <c r="K72" s="24">
        <v>3554.9940000000001</v>
      </c>
      <c r="L72" s="24">
        <v>5301.5280000000002</v>
      </c>
      <c r="M72" s="24">
        <v>5266.6949999999997</v>
      </c>
      <c r="N72" s="24">
        <v>5191.8100000000004</v>
      </c>
      <c r="O72" s="24">
        <v>4685.04</v>
      </c>
      <c r="P72" s="24">
        <v>4705.2420000000002</v>
      </c>
      <c r="Q72" s="24">
        <v>3827.5259999999998</v>
      </c>
      <c r="R72" s="24">
        <v>3449.7020000000002</v>
      </c>
      <c r="S72" s="24">
        <v>3408.9859999999999</v>
      </c>
      <c r="T72" s="24">
        <v>3278.4</v>
      </c>
      <c r="U72" s="24">
        <v>3052.2840000000001</v>
      </c>
      <c r="V72" s="24">
        <v>2758.8389999999999</v>
      </c>
      <c r="W72" s="24">
        <v>2564.5059999999999</v>
      </c>
      <c r="X72" s="24">
        <v>2197.5309999999999</v>
      </c>
      <c r="Y72" s="24">
        <v>2132.5189999999998</v>
      </c>
      <c r="Z72" s="24">
        <v>2147.52</v>
      </c>
      <c r="AA72" s="24">
        <v>1761.568</v>
      </c>
      <c r="AB72" s="24">
        <v>1427.1959999999999</v>
      </c>
      <c r="AC72" s="24">
        <v>1356.789</v>
      </c>
      <c r="AD72" s="24">
        <v>1400.472</v>
      </c>
      <c r="AE72" s="24">
        <v>1474.6780000000001</v>
      </c>
    </row>
    <row r="73" spans="1:31" ht="15" customHeight="1" outlineLevel="1">
      <c r="A73" s="35" t="s">
        <v>327</v>
      </c>
      <c r="B73" s="18">
        <v>26774</v>
      </c>
      <c r="C73" s="18">
        <v>24917</v>
      </c>
      <c r="D73" s="18">
        <v>22821.145</v>
      </c>
      <c r="E73" s="18">
        <v>22085.687999999998</v>
      </c>
      <c r="F73" s="18">
        <v>21413.539000000001</v>
      </c>
      <c r="G73" s="18">
        <v>22628.266</v>
      </c>
      <c r="H73" s="18">
        <v>17966.522000000001</v>
      </c>
      <c r="I73" s="18">
        <v>18070.403999999999</v>
      </c>
      <c r="J73" s="18">
        <v>17756.654999999999</v>
      </c>
      <c r="K73" s="18">
        <v>16721.804</v>
      </c>
      <c r="L73" s="18">
        <v>17989.280999999999</v>
      </c>
      <c r="M73" s="18">
        <v>13167.95</v>
      </c>
      <c r="N73" s="18">
        <v>12663.947</v>
      </c>
      <c r="O73" s="18">
        <v>12094.972</v>
      </c>
      <c r="P73" s="18">
        <v>11385.555</v>
      </c>
      <c r="Q73" s="18">
        <v>10313.700999999999</v>
      </c>
      <c r="R73" s="18">
        <v>10216.619000000001</v>
      </c>
      <c r="S73" s="18">
        <v>10082.293</v>
      </c>
      <c r="T73" s="18">
        <v>9518.9310000000005</v>
      </c>
      <c r="U73" s="18">
        <v>8992.0249999999996</v>
      </c>
      <c r="V73" s="18">
        <v>8267.902</v>
      </c>
      <c r="W73" s="18">
        <v>7847.6319999999996</v>
      </c>
      <c r="X73" s="18">
        <v>6936.5209999999997</v>
      </c>
      <c r="Y73" s="18">
        <v>5989.7529999999997</v>
      </c>
      <c r="Z73" s="18">
        <v>5468.5209999999997</v>
      </c>
      <c r="AA73" s="18">
        <v>4813.9549999999999</v>
      </c>
      <c r="AB73" s="18">
        <v>4096.5820000000003</v>
      </c>
      <c r="AC73" s="18">
        <v>3780.1889999999999</v>
      </c>
      <c r="AD73" s="18">
        <v>3436.6109999999999</v>
      </c>
      <c r="AE73" s="18">
        <v>3325.4050000000002</v>
      </c>
    </row>
    <row r="74" spans="1:31" ht="15" customHeight="1">
      <c r="A74" s="25" t="s">
        <v>268</v>
      </c>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row>
    <row r="75" spans="1:31" ht="15" customHeight="1" outlineLevel="1">
      <c r="A75" s="35" t="s">
        <v>328</v>
      </c>
      <c r="B75" s="33">
        <v>3.83249</v>
      </c>
      <c r="C75" s="33">
        <v>3.7823500000000001</v>
      </c>
      <c r="D75" s="33">
        <v>3.9765899999999998</v>
      </c>
      <c r="E75" s="33">
        <v>2.7175400000000001</v>
      </c>
      <c r="F75" s="33">
        <v>3.03681</v>
      </c>
      <c r="G75" s="33">
        <v>2.2795700000000001</v>
      </c>
      <c r="H75" s="33">
        <v>4.8795400000000004</v>
      </c>
      <c r="I75" s="33">
        <v>4.8151299999999999</v>
      </c>
      <c r="J75" s="33">
        <v>4.4930899999999996</v>
      </c>
      <c r="K75" s="33">
        <v>6.2180600000000004</v>
      </c>
      <c r="L75" s="33">
        <v>8.8508600000000008</v>
      </c>
      <c r="M75" s="33">
        <v>8.9856200000000008</v>
      </c>
      <c r="N75" s="33">
        <v>8.8581299999999992</v>
      </c>
      <c r="O75" s="33">
        <v>7.9956800000000001</v>
      </c>
      <c r="P75" s="33">
        <v>7.9537199999999997</v>
      </c>
      <c r="Q75" s="33">
        <v>6.5049099999999997</v>
      </c>
      <c r="R75" s="33">
        <v>5.8466899999999997</v>
      </c>
      <c r="S75" s="33">
        <v>5.67</v>
      </c>
      <c r="T75" s="33">
        <v>5.3582599999999996</v>
      </c>
      <c r="U75" s="33">
        <v>4.9318200000000001</v>
      </c>
      <c r="V75" s="33">
        <v>4.3890900000000004</v>
      </c>
      <c r="W75" s="33">
        <v>4.0288500000000003</v>
      </c>
      <c r="X75" s="33">
        <v>3.4141300000000001</v>
      </c>
      <c r="Y75" s="33">
        <v>3.2630300000000001</v>
      </c>
      <c r="Z75" s="33">
        <v>3.2286899999999998</v>
      </c>
      <c r="AA75" s="33">
        <v>2.6570900000000002</v>
      </c>
      <c r="AB75" s="33">
        <v>2.1645699999999999</v>
      </c>
      <c r="AC75" s="33">
        <v>2.0249999999999999</v>
      </c>
      <c r="AD75" s="33">
        <v>2.0304000000000002</v>
      </c>
      <c r="AE75" s="33">
        <v>2.0434800000000002</v>
      </c>
    </row>
    <row r="76" spans="1:31" ht="15" customHeight="1" outlineLevel="1">
      <c r="A76" s="26" t="s">
        <v>329</v>
      </c>
      <c r="B76" s="47">
        <v>-9.3843669999999992</v>
      </c>
      <c r="C76" s="47">
        <v>-9.1122019999999999</v>
      </c>
      <c r="D76" s="47">
        <v>-6.9225469999999998</v>
      </c>
      <c r="E76" s="47">
        <v>-8.0857010000000002</v>
      </c>
      <c r="F76" s="47">
        <v>-6.1352650000000004</v>
      </c>
      <c r="G76" s="47">
        <v>-6.5990520000000004</v>
      </c>
      <c r="H76" s="47">
        <v>-4.3888189999999998</v>
      </c>
      <c r="I76" s="47">
        <v>-4.664129</v>
      </c>
      <c r="J76" s="47">
        <v>-4.852703</v>
      </c>
      <c r="K76" s="31">
        <v>2.055917</v>
      </c>
      <c r="L76" s="31">
        <v>5.292789</v>
      </c>
      <c r="M76" s="31">
        <v>5.3551669999999998</v>
      </c>
      <c r="N76" s="31">
        <v>5.2923080000000002</v>
      </c>
      <c r="O76" s="31">
        <v>4.9592549999999997</v>
      </c>
      <c r="P76" s="31">
        <v>5.006977</v>
      </c>
      <c r="Q76" s="31">
        <v>3.6901609999999998</v>
      </c>
      <c r="R76" s="31">
        <v>3.0809090000000001</v>
      </c>
      <c r="S76" s="31">
        <v>3.17387</v>
      </c>
      <c r="T76" s="31">
        <v>2.993789</v>
      </c>
      <c r="U76" s="31">
        <v>2.6725699999999999</v>
      </c>
      <c r="V76" s="31">
        <v>2.3456190000000001</v>
      </c>
      <c r="W76" s="31">
        <v>2.1142690000000002</v>
      </c>
      <c r="X76" s="31">
        <v>1.683459</v>
      </c>
      <c r="Y76" s="31">
        <v>1.851909</v>
      </c>
      <c r="Z76" s="31">
        <v>2.072778</v>
      </c>
      <c r="AA76" s="31">
        <v>1.8983209999999999</v>
      </c>
      <c r="AB76" s="31">
        <v>1.706385</v>
      </c>
      <c r="AC76" s="31">
        <v>1.565375</v>
      </c>
      <c r="AD76" s="31">
        <v>1.6716839999999999</v>
      </c>
      <c r="AE76" s="31">
        <v>1.696394</v>
      </c>
    </row>
    <row r="77" spans="1:31" ht="15" customHeight="1">
      <c r="A77" s="36" t="s">
        <v>278</v>
      </c>
    </row>
    <row r="80" spans="1:31">
      <c r="A80" s="91" t="s">
        <v>389</v>
      </c>
      <c r="B80" s="91" t="s">
        <v>390</v>
      </c>
      <c r="C80" s="91" t="s">
        <v>390</v>
      </c>
      <c r="D80" s="91" t="s">
        <v>390</v>
      </c>
      <c r="E80" s="91" t="s">
        <v>390</v>
      </c>
      <c r="F80" s="91" t="s">
        <v>390</v>
      </c>
    </row>
    <row r="81" spans="1:6">
      <c r="A81" s="91" t="s">
        <v>391</v>
      </c>
      <c r="B81" s="91" t="s">
        <v>390</v>
      </c>
      <c r="C81" s="91" t="s">
        <v>390</v>
      </c>
      <c r="D81" s="91" t="s">
        <v>390</v>
      </c>
      <c r="E81" s="91" t="s">
        <v>390</v>
      </c>
      <c r="F81" s="91" t="s">
        <v>390</v>
      </c>
    </row>
    <row r="82" spans="1:6">
      <c r="A82" s="91" t="s">
        <v>240</v>
      </c>
      <c r="B82" s="91" t="s">
        <v>390</v>
      </c>
      <c r="C82" s="91" t="s">
        <v>390</v>
      </c>
      <c r="D82" s="91" t="s">
        <v>390</v>
      </c>
      <c r="E82" s="91" t="s">
        <v>390</v>
      </c>
      <c r="F82" s="91" t="s">
        <v>390</v>
      </c>
    </row>
    <row r="83" spans="1:6">
      <c r="A83" s="91" t="s">
        <v>390</v>
      </c>
      <c r="B83" s="91" t="s">
        <v>0</v>
      </c>
      <c r="C83" s="91" t="s">
        <v>392</v>
      </c>
      <c r="D83" s="91" t="s">
        <v>393</v>
      </c>
      <c r="E83" s="91" t="s">
        <v>394</v>
      </c>
      <c r="F83" s="91" t="s">
        <v>395</v>
      </c>
    </row>
    <row r="84" spans="1:6">
      <c r="A84" s="4" t="s">
        <v>280</v>
      </c>
      <c r="B84" s="4"/>
      <c r="C84" s="4"/>
      <c r="D84" s="4"/>
      <c r="E84" s="4"/>
      <c r="F84" s="4"/>
    </row>
    <row r="85" spans="1:6">
      <c r="A85" s="93" t="s">
        <v>281</v>
      </c>
      <c r="B85" s="93">
        <v>41</v>
      </c>
      <c r="C85" s="93">
        <v>59</v>
      </c>
      <c r="D85" s="93">
        <v>269</v>
      </c>
      <c r="E85" s="93">
        <v>211</v>
      </c>
      <c r="F85" s="93">
        <v>148</v>
      </c>
    </row>
    <row r="86" spans="1:6">
      <c r="A86" s="38" t="s">
        <v>282</v>
      </c>
      <c r="B86" s="38">
        <v>41</v>
      </c>
      <c r="C86" s="38">
        <v>59</v>
      </c>
      <c r="D86" s="38">
        <v>269</v>
      </c>
      <c r="E86" s="38">
        <v>211</v>
      </c>
      <c r="F86" s="38">
        <v>148</v>
      </c>
    </row>
    <row r="87" spans="1:6">
      <c r="A87" s="93" t="s">
        <v>283</v>
      </c>
      <c r="B87" s="205">
        <v>2262</v>
      </c>
      <c r="C87" s="205">
        <v>2167</v>
      </c>
      <c r="D87" s="205">
        <v>2045</v>
      </c>
      <c r="E87" s="205">
        <v>1877</v>
      </c>
      <c r="F87" s="205">
        <v>1641</v>
      </c>
    </row>
    <row r="88" spans="1:6">
      <c r="A88" s="4" t="s">
        <v>284</v>
      </c>
      <c r="B88" s="206">
        <v>2262</v>
      </c>
      <c r="C88" s="206">
        <v>2167</v>
      </c>
      <c r="D88" s="206">
        <v>2045</v>
      </c>
      <c r="E88" s="206">
        <v>1877</v>
      </c>
      <c r="F88" s="206">
        <v>1641</v>
      </c>
    </row>
    <row r="89" spans="1:6">
      <c r="A89" s="92" t="s">
        <v>285</v>
      </c>
      <c r="B89" s="95">
        <v>2299</v>
      </c>
      <c r="C89" s="95">
        <v>2198</v>
      </c>
      <c r="D89" s="95">
        <v>2068</v>
      </c>
      <c r="E89" s="95">
        <v>1915</v>
      </c>
      <c r="F89" s="95">
        <v>1681</v>
      </c>
    </row>
    <row r="90" spans="1:6">
      <c r="A90" s="38" t="s">
        <v>286</v>
      </c>
      <c r="B90" s="7">
        <v>-37</v>
      </c>
      <c r="C90" s="7">
        <v>-31</v>
      </c>
      <c r="D90" s="7">
        <v>-23</v>
      </c>
      <c r="E90" s="7">
        <v>-38</v>
      </c>
      <c r="F90" s="7">
        <v>-40</v>
      </c>
    </row>
    <row r="91" spans="1:6">
      <c r="A91" s="93" t="s">
        <v>288</v>
      </c>
      <c r="B91" s="205">
        <v>1711</v>
      </c>
      <c r="C91" s="205">
        <v>1626</v>
      </c>
      <c r="D91" s="205">
        <v>1600</v>
      </c>
      <c r="E91" s="205">
        <v>1616</v>
      </c>
      <c r="F91" s="205">
        <v>1686</v>
      </c>
    </row>
    <row r="92" spans="1:6">
      <c r="A92" s="38" t="s">
        <v>289</v>
      </c>
      <c r="B92" s="96">
        <v>1711</v>
      </c>
      <c r="C92" s="96">
        <v>1626</v>
      </c>
      <c r="D92" s="96">
        <v>1600</v>
      </c>
      <c r="E92" s="96">
        <v>1616</v>
      </c>
      <c r="F92" s="96">
        <v>1686</v>
      </c>
    </row>
    <row r="93" spans="1:6">
      <c r="A93" s="93" t="s">
        <v>290</v>
      </c>
      <c r="B93" s="93">
        <v>150</v>
      </c>
      <c r="C93" s="93">
        <v>122</v>
      </c>
      <c r="D93" s="93">
        <v>117</v>
      </c>
      <c r="E93" s="93">
        <v>116</v>
      </c>
      <c r="F93" s="93">
        <v>119</v>
      </c>
    </row>
    <row r="94" spans="1:6">
      <c r="A94" s="38" t="s">
        <v>387</v>
      </c>
      <c r="B94" s="38">
        <v>90</v>
      </c>
      <c r="C94" s="38">
        <v>103</v>
      </c>
      <c r="D94" s="38">
        <v>103</v>
      </c>
      <c r="E94" s="38">
        <v>95</v>
      </c>
      <c r="F94" s="38">
        <v>93</v>
      </c>
    </row>
    <row r="95" spans="1:6">
      <c r="A95" s="92" t="s">
        <v>291</v>
      </c>
      <c r="B95" s="92">
        <v>60</v>
      </c>
      <c r="C95" s="92">
        <v>19</v>
      </c>
      <c r="D95" s="92">
        <v>14</v>
      </c>
      <c r="E95" s="92">
        <v>21</v>
      </c>
      <c r="F95" s="92">
        <v>26</v>
      </c>
    </row>
    <row r="96" spans="1:6">
      <c r="A96" s="38" t="s">
        <v>292</v>
      </c>
      <c r="B96" s="96">
        <v>4164</v>
      </c>
      <c r="C96" s="96">
        <v>3974</v>
      </c>
      <c r="D96" s="96">
        <v>4031</v>
      </c>
      <c r="E96" s="96">
        <v>3820</v>
      </c>
      <c r="F96" s="96">
        <v>3594</v>
      </c>
    </row>
    <row r="97" spans="1:6">
      <c r="A97" s="93" t="s">
        <v>293</v>
      </c>
      <c r="B97" s="205">
        <v>3013</v>
      </c>
      <c r="C97" s="205">
        <v>2669</v>
      </c>
      <c r="D97" s="205">
        <v>2570</v>
      </c>
      <c r="E97" s="205">
        <v>2436</v>
      </c>
      <c r="F97" s="205">
        <v>2308</v>
      </c>
    </row>
    <row r="98" spans="1:6">
      <c r="A98" s="4" t="s">
        <v>294</v>
      </c>
      <c r="B98" s="206">
        <v>6419</v>
      </c>
      <c r="C98" s="206">
        <v>5972</v>
      </c>
      <c r="D98" s="206">
        <v>5789</v>
      </c>
      <c r="E98" s="206">
        <v>5417</v>
      </c>
      <c r="F98" s="206">
        <v>5030</v>
      </c>
    </row>
    <row r="99" spans="1:6">
      <c r="A99" s="92" t="s">
        <v>295</v>
      </c>
      <c r="B99" s="95">
        <v>1752</v>
      </c>
      <c r="C99" s="95">
        <v>1670</v>
      </c>
      <c r="D99" s="95">
        <v>1624</v>
      </c>
      <c r="E99" s="95">
        <v>1635</v>
      </c>
      <c r="F99" s="95">
        <v>1493</v>
      </c>
    </row>
    <row r="100" spans="1:6">
      <c r="A100" s="38" t="s">
        <v>296</v>
      </c>
      <c r="B100" s="38">
        <v>409</v>
      </c>
      <c r="C100" s="38">
        <v>409</v>
      </c>
      <c r="D100" s="38">
        <v>401</v>
      </c>
      <c r="E100" s="38">
        <v>397</v>
      </c>
      <c r="F100" s="38">
        <v>379</v>
      </c>
    </row>
    <row r="101" spans="1:6">
      <c r="A101" s="92" t="s">
        <v>388</v>
      </c>
      <c r="B101" s="92">
        <v>704</v>
      </c>
      <c r="C101" s="92">
        <v>609</v>
      </c>
      <c r="D101" s="92">
        <v>597</v>
      </c>
      <c r="E101" s="92">
        <v>569</v>
      </c>
      <c r="F101" s="92">
        <v>520</v>
      </c>
    </row>
    <row r="102" spans="1:6">
      <c r="A102" s="38" t="s">
        <v>396</v>
      </c>
      <c r="B102" s="38">
        <v>208</v>
      </c>
      <c r="C102" s="38">
        <v>155</v>
      </c>
      <c r="D102" s="38">
        <v>99</v>
      </c>
      <c r="E102" s="38">
        <v>77</v>
      </c>
      <c r="F102" s="38">
        <v>165</v>
      </c>
    </row>
    <row r="103" spans="1:6">
      <c r="A103" s="92" t="s">
        <v>397</v>
      </c>
      <c r="B103" s="92">
        <v>882</v>
      </c>
      <c r="C103" s="92">
        <v>789</v>
      </c>
      <c r="D103" s="92">
        <v>742</v>
      </c>
      <c r="E103" s="92">
        <v>653</v>
      </c>
      <c r="F103" s="92">
        <v>552</v>
      </c>
    </row>
    <row r="104" spans="1:6">
      <c r="A104" s="38" t="s">
        <v>398</v>
      </c>
      <c r="B104" s="38">
        <v>984</v>
      </c>
      <c r="C104" s="38">
        <v>969</v>
      </c>
      <c r="D104" s="38">
        <v>867</v>
      </c>
      <c r="E104" s="38">
        <v>765</v>
      </c>
      <c r="F104" s="38">
        <v>713</v>
      </c>
    </row>
    <row r="105" spans="1:6">
      <c r="A105" s="92" t="s">
        <v>298</v>
      </c>
      <c r="B105" s="95">
        <v>1148</v>
      </c>
      <c r="C105" s="95">
        <v>1100</v>
      </c>
      <c r="D105" s="95">
        <v>1169</v>
      </c>
      <c r="E105" s="95">
        <v>1056</v>
      </c>
      <c r="F105" s="92">
        <v>933</v>
      </c>
    </row>
    <row r="106" spans="1:6">
      <c r="A106" s="38" t="s">
        <v>299</v>
      </c>
      <c r="B106" s="38">
        <v>332</v>
      </c>
      <c r="C106" s="38">
        <v>271</v>
      </c>
      <c r="D106" s="38">
        <v>290</v>
      </c>
      <c r="E106" s="38">
        <v>265</v>
      </c>
      <c r="F106" s="38">
        <v>275</v>
      </c>
    </row>
    <row r="107" spans="1:6">
      <c r="A107" s="92" t="s">
        <v>300</v>
      </c>
      <c r="B107" s="95">
        <v>3406</v>
      </c>
      <c r="C107" s="95">
        <v>3303</v>
      </c>
      <c r="D107" s="95">
        <v>3219</v>
      </c>
      <c r="E107" s="95">
        <v>2981</v>
      </c>
      <c r="F107" s="95">
        <v>2722</v>
      </c>
    </row>
    <row r="108" spans="1:6">
      <c r="A108" s="4" t="s">
        <v>399</v>
      </c>
      <c r="B108" s="4">
        <v>74</v>
      </c>
      <c r="C108" s="4">
        <v>50</v>
      </c>
      <c r="D108" s="4">
        <v>39</v>
      </c>
      <c r="E108" s="4">
        <v>31</v>
      </c>
      <c r="F108" s="4">
        <v>26</v>
      </c>
    </row>
    <row r="109" spans="1:6">
      <c r="A109" s="92" t="s">
        <v>400</v>
      </c>
      <c r="B109" s="92">
        <v>74</v>
      </c>
      <c r="C109" s="92">
        <v>50</v>
      </c>
      <c r="D109" s="92">
        <v>39</v>
      </c>
      <c r="E109" s="92">
        <v>31</v>
      </c>
      <c r="F109" s="92">
        <v>26</v>
      </c>
    </row>
    <row r="110" spans="1:6">
      <c r="A110" s="4" t="s">
        <v>303</v>
      </c>
      <c r="B110" s="206">
        <v>6575</v>
      </c>
      <c r="C110" s="206">
        <v>6602</v>
      </c>
      <c r="D110" s="206">
        <v>6500</v>
      </c>
      <c r="E110" s="206">
        <v>6410</v>
      </c>
      <c r="F110" s="206">
        <v>6455</v>
      </c>
    </row>
    <row r="111" spans="1:6">
      <c r="A111" s="92" t="s">
        <v>255</v>
      </c>
      <c r="B111" s="95">
        <v>5794</v>
      </c>
      <c r="C111" s="95">
        <v>5766</v>
      </c>
      <c r="D111" s="95">
        <v>5697</v>
      </c>
      <c r="E111" s="95">
        <v>5625</v>
      </c>
      <c r="F111" s="95">
        <v>5625</v>
      </c>
    </row>
    <row r="112" spans="1:6">
      <c r="A112" s="38" t="s">
        <v>304</v>
      </c>
      <c r="B112" s="38">
        <v>781</v>
      </c>
      <c r="C112" s="38">
        <v>836</v>
      </c>
      <c r="D112" s="38">
        <v>803</v>
      </c>
      <c r="E112" s="38">
        <v>785</v>
      </c>
      <c r="F112" s="38">
        <v>830</v>
      </c>
    </row>
    <row r="113" spans="1:6">
      <c r="A113" s="92" t="s">
        <v>305</v>
      </c>
      <c r="B113" s="92">
        <v>369</v>
      </c>
      <c r="C113" s="92">
        <v>358</v>
      </c>
      <c r="D113" s="92">
        <v>368</v>
      </c>
      <c r="E113" s="92">
        <v>0</v>
      </c>
      <c r="F113" s="92">
        <v>8</v>
      </c>
    </row>
    <row r="114" spans="1:6">
      <c r="A114" s="4" t="s">
        <v>306</v>
      </c>
      <c r="B114" s="4">
        <v>117</v>
      </c>
      <c r="C114" s="4">
        <v>141</v>
      </c>
      <c r="D114" s="4">
        <v>47</v>
      </c>
      <c r="E114" s="4">
        <v>76</v>
      </c>
      <c r="F114" s="4">
        <v>130</v>
      </c>
    </row>
    <row r="115" spans="1:6">
      <c r="A115" s="92" t="s">
        <v>308</v>
      </c>
      <c r="B115" s="92">
        <v>117</v>
      </c>
      <c r="C115" s="92">
        <v>141</v>
      </c>
      <c r="D115" s="92">
        <v>47</v>
      </c>
      <c r="E115" s="92">
        <v>76</v>
      </c>
      <c r="F115" s="92">
        <v>130</v>
      </c>
    </row>
    <row r="116" spans="1:6">
      <c r="A116" s="38" t="s">
        <v>309</v>
      </c>
      <c r="B116" s="96">
        <v>14312</v>
      </c>
      <c r="C116" s="96">
        <v>13794</v>
      </c>
      <c r="D116" s="96">
        <v>13555</v>
      </c>
      <c r="E116" s="96">
        <v>12773</v>
      </c>
      <c r="F116" s="96">
        <v>12521</v>
      </c>
    </row>
    <row r="117" spans="1:6">
      <c r="A117" s="93" t="s">
        <v>107</v>
      </c>
      <c r="B117" s="93" t="s">
        <v>390</v>
      </c>
      <c r="C117" s="93" t="s">
        <v>390</v>
      </c>
      <c r="D117" s="93" t="s">
        <v>390</v>
      </c>
      <c r="E117" s="93" t="s">
        <v>390</v>
      </c>
      <c r="F117" s="93" t="s">
        <v>390</v>
      </c>
    </row>
    <row r="118" spans="1:6">
      <c r="A118" s="4" t="s">
        <v>108</v>
      </c>
      <c r="B118" s="4"/>
      <c r="C118" s="4"/>
      <c r="D118" s="4"/>
      <c r="E118" s="4"/>
      <c r="F118" s="4"/>
    </row>
    <row r="119" spans="1:6">
      <c r="A119" s="92" t="s">
        <v>109</v>
      </c>
      <c r="B119" s="92">
        <v>353</v>
      </c>
      <c r="C119" s="92">
        <v>367</v>
      </c>
      <c r="D119" s="92">
        <v>373</v>
      </c>
      <c r="E119" s="92">
        <v>327</v>
      </c>
      <c r="F119" s="92">
        <v>314</v>
      </c>
    </row>
    <row r="120" spans="1:6">
      <c r="A120" s="38" t="s">
        <v>110</v>
      </c>
      <c r="B120" s="98">
        <v>2447</v>
      </c>
      <c r="C120" s="98">
        <v>2231</v>
      </c>
      <c r="D120" s="98">
        <v>2051</v>
      </c>
      <c r="E120" s="98">
        <v>1855</v>
      </c>
      <c r="F120" s="98">
        <v>1662</v>
      </c>
    </row>
    <row r="121" spans="1:6">
      <c r="A121" s="92" t="s">
        <v>111</v>
      </c>
      <c r="B121" s="92">
        <v>38</v>
      </c>
      <c r="C121" s="92" t="s">
        <v>390</v>
      </c>
      <c r="D121" s="92" t="s">
        <v>390</v>
      </c>
      <c r="E121" s="92" t="s">
        <v>390</v>
      </c>
      <c r="F121" s="92" t="s">
        <v>390</v>
      </c>
    </row>
    <row r="122" spans="1:6">
      <c r="A122" s="4" t="s">
        <v>112</v>
      </c>
      <c r="B122" s="4">
        <v>753</v>
      </c>
      <c r="C122" s="4">
        <v>698</v>
      </c>
      <c r="D122" s="4">
        <v>688</v>
      </c>
      <c r="E122" s="4">
        <v>614</v>
      </c>
      <c r="F122" s="4">
        <v>574</v>
      </c>
    </row>
    <row r="123" spans="1:6">
      <c r="A123" s="92" t="s">
        <v>401</v>
      </c>
      <c r="B123" s="92">
        <v>308</v>
      </c>
      <c r="C123" s="92">
        <v>261</v>
      </c>
      <c r="D123" s="92">
        <v>265</v>
      </c>
      <c r="E123" s="92">
        <v>246</v>
      </c>
      <c r="F123" s="92">
        <v>197</v>
      </c>
    </row>
    <row r="124" spans="1:6">
      <c r="A124" s="38" t="s">
        <v>113</v>
      </c>
      <c r="B124" s="38">
        <v>445</v>
      </c>
      <c r="C124" s="38">
        <v>437</v>
      </c>
      <c r="D124" s="38">
        <v>423</v>
      </c>
      <c r="E124" s="38">
        <v>368</v>
      </c>
      <c r="F124" s="38">
        <v>377</v>
      </c>
    </row>
    <row r="125" spans="1:6">
      <c r="A125" s="92" t="s">
        <v>114</v>
      </c>
      <c r="B125" s="99">
        <v>3591</v>
      </c>
      <c r="C125" s="99">
        <v>3296</v>
      </c>
      <c r="D125" s="99">
        <v>3112</v>
      </c>
      <c r="E125" s="99">
        <v>2796</v>
      </c>
      <c r="F125" s="99">
        <v>2550</v>
      </c>
    </row>
    <row r="126" spans="1:6">
      <c r="A126" s="4" t="s">
        <v>115</v>
      </c>
      <c r="B126" s="4"/>
      <c r="C126" s="4"/>
      <c r="D126" s="4"/>
      <c r="E126" s="4"/>
      <c r="F126" s="4"/>
    </row>
    <row r="127" spans="1:6">
      <c r="A127" s="93" t="s">
        <v>116</v>
      </c>
      <c r="B127" s="205">
        <v>5370</v>
      </c>
      <c r="C127" s="205">
        <v>5067</v>
      </c>
      <c r="D127" s="205">
        <v>4829</v>
      </c>
      <c r="E127" s="205">
        <v>4984</v>
      </c>
      <c r="F127" s="205">
        <v>5160</v>
      </c>
    </row>
    <row r="128" spans="1:6">
      <c r="A128" s="38" t="s">
        <v>117</v>
      </c>
      <c r="B128" s="96">
        <v>4636</v>
      </c>
      <c r="C128" s="96">
        <v>4430</v>
      </c>
      <c r="D128" s="96">
        <v>4197</v>
      </c>
      <c r="E128" s="96">
        <v>4384</v>
      </c>
      <c r="F128" s="96">
        <v>4696</v>
      </c>
    </row>
    <row r="129" spans="1:6">
      <c r="A129" s="92" t="s">
        <v>118</v>
      </c>
      <c r="B129" s="92">
        <v>734</v>
      </c>
      <c r="C129" s="92">
        <v>637</v>
      </c>
      <c r="D129" s="92">
        <v>632</v>
      </c>
      <c r="E129" s="92">
        <v>600</v>
      </c>
      <c r="F129" s="92">
        <v>464</v>
      </c>
    </row>
    <row r="130" spans="1:6">
      <c r="A130" s="38" t="s">
        <v>310</v>
      </c>
      <c r="B130" s="38">
        <v>18</v>
      </c>
      <c r="C130" s="38">
        <v>21</v>
      </c>
      <c r="D130" s="38">
        <v>37</v>
      </c>
      <c r="E130" s="38">
        <v>37</v>
      </c>
      <c r="F130" s="38">
        <v>37</v>
      </c>
    </row>
    <row r="131" spans="1:6">
      <c r="A131" s="92" t="s">
        <v>311</v>
      </c>
      <c r="B131" s="92">
        <v>795</v>
      </c>
      <c r="C131" s="92">
        <v>693</v>
      </c>
      <c r="D131" s="92">
        <v>661</v>
      </c>
      <c r="E131" s="92">
        <v>298</v>
      </c>
      <c r="F131" s="92">
        <v>307</v>
      </c>
    </row>
    <row r="132" spans="1:6">
      <c r="A132" s="4" t="s">
        <v>312</v>
      </c>
      <c r="B132" s="4">
        <v>231</v>
      </c>
      <c r="C132" s="4">
        <v>189</v>
      </c>
      <c r="D132" s="4">
        <v>167</v>
      </c>
      <c r="E132" s="4">
        <v>163</v>
      </c>
      <c r="F132" s="4">
        <v>198</v>
      </c>
    </row>
    <row r="133" spans="1:6">
      <c r="A133" s="92" t="s">
        <v>313</v>
      </c>
      <c r="B133" s="92">
        <v>231</v>
      </c>
      <c r="C133" s="92">
        <v>189</v>
      </c>
      <c r="D133" s="92">
        <v>167</v>
      </c>
      <c r="E133" s="92">
        <v>163</v>
      </c>
      <c r="F133" s="92">
        <v>198</v>
      </c>
    </row>
    <row r="134" spans="1:6">
      <c r="A134" s="38" t="s">
        <v>314</v>
      </c>
      <c r="B134" s="96">
        <v>10005</v>
      </c>
      <c r="C134" s="96">
        <v>9266</v>
      </c>
      <c r="D134" s="96">
        <v>8806</v>
      </c>
      <c r="E134" s="96">
        <v>8278</v>
      </c>
      <c r="F134" s="96">
        <v>8252</v>
      </c>
    </row>
    <row r="135" spans="1:6">
      <c r="A135" s="93" t="s">
        <v>315</v>
      </c>
      <c r="B135" s="93" t="s">
        <v>390</v>
      </c>
      <c r="C135" s="93" t="s">
        <v>390</v>
      </c>
      <c r="D135" s="93" t="s">
        <v>390</v>
      </c>
      <c r="E135" s="93" t="s">
        <v>390</v>
      </c>
      <c r="F135" s="93" t="s">
        <v>390</v>
      </c>
    </row>
    <row r="136" spans="1:6">
      <c r="A136" s="4" t="s">
        <v>402</v>
      </c>
      <c r="B136" s="4">
        <v>0</v>
      </c>
      <c r="C136" s="4">
        <v>0</v>
      </c>
      <c r="D136" s="4">
        <v>0</v>
      </c>
      <c r="E136" s="4">
        <v>534</v>
      </c>
      <c r="F136" s="4">
        <v>534</v>
      </c>
    </row>
    <row r="137" spans="1:6">
      <c r="A137" s="92" t="s">
        <v>403</v>
      </c>
      <c r="B137" s="92">
        <v>0</v>
      </c>
      <c r="C137" s="92">
        <v>0</v>
      </c>
      <c r="D137" s="92">
        <v>0</v>
      </c>
      <c r="E137" s="92">
        <v>534</v>
      </c>
      <c r="F137" s="92">
        <v>534</v>
      </c>
    </row>
    <row r="138" spans="1:6">
      <c r="A138" s="4" t="s">
        <v>316</v>
      </c>
      <c r="B138" s="206">
        <v>4307</v>
      </c>
      <c r="C138" s="206">
        <v>4528</v>
      </c>
      <c r="D138" s="206">
        <v>4749</v>
      </c>
      <c r="E138" s="206">
        <v>3961</v>
      </c>
      <c r="F138" s="206">
        <v>3735</v>
      </c>
    </row>
    <row r="139" spans="1:6">
      <c r="A139" s="92" t="s">
        <v>317</v>
      </c>
      <c r="B139" s="92">
        <v>3</v>
      </c>
      <c r="C139" s="92">
        <v>3</v>
      </c>
      <c r="D139" s="92">
        <v>3</v>
      </c>
      <c r="E139" s="92">
        <v>2</v>
      </c>
      <c r="F139" s="92">
        <v>2</v>
      </c>
    </row>
    <row r="140" spans="1:6">
      <c r="A140" s="38" t="s">
        <v>318</v>
      </c>
      <c r="B140" s="96">
        <v>3777</v>
      </c>
      <c r="C140" s="96">
        <v>3748</v>
      </c>
      <c r="D140" s="96">
        <v>3663</v>
      </c>
      <c r="E140" s="96">
        <v>3036</v>
      </c>
      <c r="F140" s="96">
        <v>2970</v>
      </c>
    </row>
    <row r="141" spans="1:6">
      <c r="A141" s="92" t="s">
        <v>319</v>
      </c>
      <c r="B141" s="95">
        <v>2679</v>
      </c>
      <c r="C141" s="95">
        <v>2003</v>
      </c>
      <c r="D141" s="95">
        <v>1509</v>
      </c>
      <c r="E141" s="95">
        <v>1010</v>
      </c>
      <c r="F141" s="92">
        <v>782</v>
      </c>
    </row>
    <row r="142" spans="1:6">
      <c r="A142" s="38" t="s">
        <v>322</v>
      </c>
      <c r="B142" s="38">
        <v>48</v>
      </c>
      <c r="C142" s="38">
        <v>43</v>
      </c>
      <c r="D142" s="7">
        <v>-115</v>
      </c>
      <c r="E142" s="7">
        <v>-73</v>
      </c>
      <c r="F142" s="7">
        <v>-19</v>
      </c>
    </row>
    <row r="143" spans="1:6">
      <c r="A143" s="92" t="s">
        <v>323</v>
      </c>
      <c r="B143" s="207">
        <v>-2200</v>
      </c>
      <c r="C143" s="207">
        <v>-1269</v>
      </c>
      <c r="D143" s="94">
        <v>-311</v>
      </c>
      <c r="E143" s="94">
        <v>-14</v>
      </c>
      <c r="F143" s="92">
        <v>0</v>
      </c>
    </row>
    <row r="144" spans="1:6">
      <c r="A144" s="38" t="s">
        <v>324</v>
      </c>
      <c r="B144" s="96">
        <v>4307</v>
      </c>
      <c r="C144" s="96">
        <v>4528</v>
      </c>
      <c r="D144" s="96">
        <v>4749</v>
      </c>
      <c r="E144" s="96">
        <v>4495</v>
      </c>
      <c r="F144" s="96">
        <v>4269</v>
      </c>
    </row>
    <row r="145" spans="1:6">
      <c r="A145" s="92" t="s">
        <v>326</v>
      </c>
      <c r="B145" s="95">
        <v>4307</v>
      </c>
      <c r="C145" s="95">
        <v>4528</v>
      </c>
      <c r="D145" s="95">
        <v>4749</v>
      </c>
      <c r="E145" s="95">
        <v>4495</v>
      </c>
      <c r="F145" s="95">
        <v>4269</v>
      </c>
    </row>
    <row r="146" spans="1:6">
      <c r="A146" s="38" t="s">
        <v>327</v>
      </c>
      <c r="B146" s="96">
        <v>14312</v>
      </c>
      <c r="C146" s="96">
        <v>13794</v>
      </c>
      <c r="D146" s="96">
        <v>13555</v>
      </c>
      <c r="E146" s="96">
        <v>12773</v>
      </c>
      <c r="F146" s="96">
        <v>12521</v>
      </c>
    </row>
    <row r="147" spans="1:6">
      <c r="A147" s="93" t="s">
        <v>268</v>
      </c>
      <c r="B147" s="93" t="s">
        <v>390</v>
      </c>
      <c r="C147" s="93" t="s">
        <v>390</v>
      </c>
      <c r="D147" s="93" t="s">
        <v>390</v>
      </c>
      <c r="E147" s="93" t="s">
        <v>390</v>
      </c>
      <c r="F147" s="93" t="s">
        <v>390</v>
      </c>
    </row>
    <row r="148" spans="1:6">
      <c r="A148" s="38" t="s">
        <v>328</v>
      </c>
      <c r="B148" s="38">
        <v>19.53</v>
      </c>
      <c r="C148" s="38">
        <v>19.64</v>
      </c>
      <c r="D148" s="38">
        <v>19.37</v>
      </c>
      <c r="E148" s="38">
        <v>17.64</v>
      </c>
      <c r="F148" s="38">
        <v>16.75</v>
      </c>
    </row>
    <row r="149" spans="1:6">
      <c r="A149" s="92" t="s">
        <v>329</v>
      </c>
      <c r="B149" s="94">
        <v>-10.29</v>
      </c>
      <c r="C149" s="94">
        <v>-9</v>
      </c>
      <c r="D149" s="94">
        <v>-7.14</v>
      </c>
      <c r="E149" s="94">
        <v>-10.91</v>
      </c>
      <c r="F149" s="94">
        <v>-12.2</v>
      </c>
    </row>
    <row r="150" spans="1:6">
      <c r="A150" s="97" t="s">
        <v>278</v>
      </c>
      <c r="B150" s="38"/>
      <c r="C150" s="38"/>
      <c r="D150" s="38"/>
      <c r="E150" s="38"/>
      <c r="F150" s="3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5D487-3C51-41EB-96C3-B1F04E9993F4}">
  <dimension ref="A1:U112"/>
  <sheetViews>
    <sheetView topLeftCell="I1" zoomScale="50" workbookViewId="0"/>
  </sheetViews>
  <sheetFormatPr baseColWidth="10" defaultColWidth="11" defaultRowHeight="16"/>
  <cols>
    <col min="1" max="1" width="47" bestFit="1" customWidth="1"/>
    <col min="8" max="8" width="47.6640625" bestFit="1" customWidth="1"/>
    <col min="15" max="15" width="49.83203125" bestFit="1" customWidth="1"/>
    <col min="22" max="22" width="45.33203125" bestFit="1" customWidth="1"/>
  </cols>
  <sheetData>
    <row r="1" spans="1:21">
      <c r="A1" s="37" t="s">
        <v>529</v>
      </c>
      <c r="B1" s="38"/>
      <c r="C1" s="38"/>
      <c r="D1" s="38"/>
      <c r="E1" s="38"/>
      <c r="F1" s="38"/>
      <c r="H1" s="37" t="s">
        <v>530</v>
      </c>
      <c r="I1" s="38"/>
      <c r="J1" s="38"/>
      <c r="K1" s="38"/>
      <c r="L1" s="38"/>
      <c r="M1" s="38"/>
      <c r="O1" s="37" t="s">
        <v>531</v>
      </c>
      <c r="P1" s="38"/>
      <c r="Q1" s="38"/>
      <c r="R1" s="38"/>
      <c r="S1" s="38"/>
      <c r="T1" s="38"/>
      <c r="U1" s="38"/>
    </row>
    <row r="2" spans="1:21">
      <c r="A2" s="90">
        <v>89.91</v>
      </c>
      <c r="B2" s="38"/>
      <c r="C2" s="38"/>
      <c r="D2" s="38"/>
      <c r="E2" s="38"/>
      <c r="F2" s="38"/>
      <c r="H2" s="90">
        <v>84.01</v>
      </c>
      <c r="I2" s="38"/>
      <c r="J2" s="38"/>
      <c r="K2" s="38"/>
      <c r="L2" s="38"/>
      <c r="M2" s="38"/>
      <c r="O2" s="90">
        <v>44.84</v>
      </c>
      <c r="P2" s="38"/>
      <c r="Q2" s="38"/>
      <c r="R2" s="38"/>
      <c r="S2" s="38"/>
      <c r="T2" s="38"/>
      <c r="U2" s="38"/>
    </row>
    <row r="3" spans="1:21">
      <c r="A3" s="38" t="s">
        <v>390</v>
      </c>
      <c r="B3" s="39" t="s">
        <v>390</v>
      </c>
      <c r="C3" s="39" t="s">
        <v>390</v>
      </c>
      <c r="D3" s="39" t="s">
        <v>390</v>
      </c>
      <c r="E3" s="39" t="s">
        <v>390</v>
      </c>
      <c r="F3" s="39" t="s">
        <v>390</v>
      </c>
      <c r="H3" s="38" t="s">
        <v>390</v>
      </c>
      <c r="I3" s="39" t="s">
        <v>390</v>
      </c>
      <c r="J3" s="39" t="s">
        <v>390</v>
      </c>
      <c r="K3" s="39" t="s">
        <v>390</v>
      </c>
      <c r="L3" s="39" t="s">
        <v>390</v>
      </c>
      <c r="M3" s="39" t="s">
        <v>390</v>
      </c>
      <c r="O3" s="38" t="s">
        <v>390</v>
      </c>
      <c r="P3" s="39" t="s">
        <v>390</v>
      </c>
      <c r="Q3" s="39" t="s">
        <v>390</v>
      </c>
      <c r="R3" s="39" t="s">
        <v>390</v>
      </c>
      <c r="S3" s="39" t="s">
        <v>390</v>
      </c>
      <c r="T3" s="39" t="s">
        <v>390</v>
      </c>
      <c r="U3" s="39" t="s">
        <v>390</v>
      </c>
    </row>
    <row r="4" spans="1:21">
      <c r="A4" s="38"/>
      <c r="B4" s="38"/>
      <c r="C4" s="38"/>
      <c r="D4" s="38"/>
      <c r="E4" s="38"/>
      <c r="F4" s="38"/>
      <c r="H4" s="38"/>
      <c r="I4" s="38"/>
      <c r="J4" s="38"/>
      <c r="K4" s="38"/>
      <c r="L4" s="38"/>
      <c r="M4" s="38"/>
      <c r="P4" s="38"/>
      <c r="Q4" s="38"/>
      <c r="R4" s="38"/>
      <c r="S4" s="38"/>
      <c r="T4" s="38"/>
      <c r="U4" s="38"/>
    </row>
    <row r="5" spans="1:21">
      <c r="A5" s="91" t="s">
        <v>389</v>
      </c>
      <c r="B5" s="91" t="s">
        <v>390</v>
      </c>
      <c r="C5" s="91" t="s">
        <v>390</v>
      </c>
      <c r="D5" s="91" t="s">
        <v>390</v>
      </c>
      <c r="E5" s="91" t="s">
        <v>390</v>
      </c>
      <c r="F5" s="91" t="s">
        <v>390</v>
      </c>
      <c r="H5" s="91" t="s">
        <v>532</v>
      </c>
      <c r="I5" s="91" t="s">
        <v>390</v>
      </c>
      <c r="J5" s="91" t="s">
        <v>390</v>
      </c>
      <c r="K5" s="91" t="s">
        <v>390</v>
      </c>
      <c r="L5" s="91" t="s">
        <v>390</v>
      </c>
      <c r="M5" s="91" t="s">
        <v>390</v>
      </c>
      <c r="O5" s="91" t="s">
        <v>533</v>
      </c>
      <c r="P5" s="91" t="s">
        <v>390</v>
      </c>
      <c r="Q5" s="91" t="s">
        <v>390</v>
      </c>
      <c r="R5" s="91" t="s">
        <v>390</v>
      </c>
      <c r="S5" s="91" t="s">
        <v>390</v>
      </c>
      <c r="T5" s="91" t="s">
        <v>390</v>
      </c>
    </row>
    <row r="6" spans="1:21">
      <c r="A6" s="91" t="s">
        <v>391</v>
      </c>
      <c r="B6" s="91" t="s">
        <v>390</v>
      </c>
      <c r="C6" s="91" t="s">
        <v>390</v>
      </c>
      <c r="D6" s="91" t="s">
        <v>390</v>
      </c>
      <c r="E6" s="91" t="s">
        <v>390</v>
      </c>
      <c r="F6" s="91" t="s">
        <v>390</v>
      </c>
      <c r="H6" s="91" t="s">
        <v>534</v>
      </c>
      <c r="I6" s="91" t="s">
        <v>390</v>
      </c>
      <c r="J6" s="91" t="s">
        <v>390</v>
      </c>
      <c r="K6" s="91" t="s">
        <v>390</v>
      </c>
      <c r="L6" s="91" t="s">
        <v>390</v>
      </c>
      <c r="M6" s="91" t="s">
        <v>390</v>
      </c>
      <c r="O6" s="91" t="s">
        <v>535</v>
      </c>
      <c r="P6" s="91" t="s">
        <v>390</v>
      </c>
      <c r="Q6" s="91" t="s">
        <v>390</v>
      </c>
      <c r="R6" s="91" t="s">
        <v>390</v>
      </c>
      <c r="S6" s="91" t="s">
        <v>390</v>
      </c>
      <c r="T6" s="91" t="s">
        <v>390</v>
      </c>
    </row>
    <row r="7" spans="1:21">
      <c r="A7" s="91" t="s">
        <v>240</v>
      </c>
      <c r="B7" s="91" t="s">
        <v>390</v>
      </c>
      <c r="C7" s="91" t="s">
        <v>390</v>
      </c>
      <c r="D7" s="91" t="s">
        <v>390</v>
      </c>
      <c r="E7" s="91" t="s">
        <v>390</v>
      </c>
      <c r="F7" s="91" t="s">
        <v>390</v>
      </c>
      <c r="H7" s="91" t="s">
        <v>240</v>
      </c>
      <c r="I7" s="91" t="s">
        <v>390</v>
      </c>
      <c r="J7" s="91" t="s">
        <v>390</v>
      </c>
      <c r="K7" s="91" t="s">
        <v>390</v>
      </c>
      <c r="L7" s="91" t="s">
        <v>390</v>
      </c>
      <c r="M7" s="91" t="s">
        <v>390</v>
      </c>
      <c r="O7" s="91" t="s">
        <v>240</v>
      </c>
      <c r="P7" s="91" t="s">
        <v>390</v>
      </c>
      <c r="Q7" s="91" t="s">
        <v>390</v>
      </c>
      <c r="R7" s="91" t="s">
        <v>390</v>
      </c>
      <c r="S7" s="91" t="s">
        <v>390</v>
      </c>
      <c r="T7" s="91" t="s">
        <v>390</v>
      </c>
    </row>
    <row r="8" spans="1:21">
      <c r="A8" s="91" t="s">
        <v>390</v>
      </c>
      <c r="B8" s="91" t="s">
        <v>0</v>
      </c>
      <c r="C8" s="91" t="s">
        <v>392</v>
      </c>
      <c r="D8" s="91" t="s">
        <v>393</v>
      </c>
      <c r="E8" s="91" t="s">
        <v>394</v>
      </c>
      <c r="F8" s="91" t="s">
        <v>395</v>
      </c>
      <c r="H8" s="91" t="s">
        <v>390</v>
      </c>
      <c r="I8" s="91" t="s">
        <v>0</v>
      </c>
      <c r="J8" s="91" t="s">
        <v>392</v>
      </c>
      <c r="K8" s="91" t="s">
        <v>393</v>
      </c>
      <c r="L8" s="91" t="s">
        <v>394</v>
      </c>
      <c r="M8" s="91" t="s">
        <v>395</v>
      </c>
      <c r="O8" s="91" t="s">
        <v>390</v>
      </c>
      <c r="P8" s="91" t="s">
        <v>0</v>
      </c>
      <c r="Q8" s="91" t="s">
        <v>392</v>
      </c>
      <c r="R8" s="91" t="s">
        <v>393</v>
      </c>
      <c r="S8" s="91" t="s">
        <v>394</v>
      </c>
      <c r="T8" s="91" t="s">
        <v>395</v>
      </c>
    </row>
    <row r="9" spans="1:21">
      <c r="A9" s="4" t="s">
        <v>409</v>
      </c>
      <c r="B9" s="4"/>
      <c r="C9" s="4"/>
      <c r="D9" s="4"/>
      <c r="E9" s="4"/>
      <c r="F9" s="4"/>
      <c r="H9" s="4" t="s">
        <v>409</v>
      </c>
      <c r="I9" s="4"/>
      <c r="J9" s="4"/>
      <c r="K9" s="4"/>
      <c r="L9" s="4"/>
      <c r="M9" s="4"/>
      <c r="O9" s="4" t="s">
        <v>409</v>
      </c>
      <c r="P9" s="4"/>
      <c r="Q9" s="4"/>
      <c r="R9" s="4"/>
      <c r="S9" s="4"/>
      <c r="T9" s="4"/>
    </row>
    <row r="10" spans="1:21">
      <c r="A10" s="216" t="s">
        <v>411</v>
      </c>
      <c r="B10" s="92">
        <v>17.41</v>
      </c>
      <c r="C10" s="92">
        <v>17.25</v>
      </c>
      <c r="D10" s="92">
        <v>17.27</v>
      </c>
      <c r="E10" s="92">
        <v>16.13</v>
      </c>
      <c r="F10" s="92">
        <v>15.79</v>
      </c>
      <c r="H10" s="92" t="s">
        <v>411</v>
      </c>
      <c r="I10" s="92">
        <v>10.69</v>
      </c>
      <c r="J10" s="92">
        <v>10.46</v>
      </c>
      <c r="K10" s="92">
        <v>10.220000000000001</v>
      </c>
      <c r="L10" s="92">
        <v>9.6300000000000008</v>
      </c>
      <c r="M10" s="92">
        <v>9.9</v>
      </c>
      <c r="O10" s="92" t="s">
        <v>411</v>
      </c>
      <c r="P10" s="92">
        <v>12.47</v>
      </c>
      <c r="Q10" s="92">
        <v>12.4</v>
      </c>
      <c r="R10" s="92">
        <v>12.33</v>
      </c>
      <c r="S10" s="92">
        <v>13.23</v>
      </c>
      <c r="T10" s="92">
        <v>13.7</v>
      </c>
    </row>
    <row r="11" spans="1:21">
      <c r="A11" s="38" t="s">
        <v>413</v>
      </c>
      <c r="B11" s="38">
        <v>14.04</v>
      </c>
      <c r="C11" s="38">
        <v>14.08</v>
      </c>
      <c r="D11" s="38">
        <v>14.16</v>
      </c>
      <c r="E11" s="38">
        <v>14.06</v>
      </c>
      <c r="F11" s="38">
        <v>14.16</v>
      </c>
      <c r="H11" s="38" t="s">
        <v>413</v>
      </c>
      <c r="I11" s="38">
        <v>9.33</v>
      </c>
      <c r="J11" s="38">
        <v>8.98</v>
      </c>
      <c r="K11" s="38">
        <v>8.81</v>
      </c>
      <c r="L11" s="38">
        <v>8.64</v>
      </c>
      <c r="M11" s="38">
        <v>9.3699999999999992</v>
      </c>
      <c r="O11" s="38" t="s">
        <v>413</v>
      </c>
      <c r="P11" s="38">
        <v>11.69</v>
      </c>
      <c r="Q11" s="38">
        <v>11.82</v>
      </c>
      <c r="R11" s="38">
        <v>12.12</v>
      </c>
      <c r="S11" s="38">
        <v>12.24</v>
      </c>
      <c r="T11" s="38">
        <v>12.29</v>
      </c>
    </row>
    <row r="12" spans="1:21">
      <c r="A12" s="216" t="s">
        <v>414</v>
      </c>
      <c r="B12" s="92">
        <v>3.37</v>
      </c>
      <c r="C12" s="92">
        <v>3.17</v>
      </c>
      <c r="D12" s="92">
        <v>3.11</v>
      </c>
      <c r="E12" s="92">
        <v>2.06</v>
      </c>
      <c r="F12" s="92">
        <v>1.62</v>
      </c>
      <c r="H12" s="92" t="s">
        <v>414</v>
      </c>
      <c r="I12" s="92">
        <v>1.36</v>
      </c>
      <c r="J12" s="92">
        <v>1.48</v>
      </c>
      <c r="K12" s="92">
        <v>1.42</v>
      </c>
      <c r="L12" s="92">
        <v>0.99</v>
      </c>
      <c r="M12" s="92">
        <v>0.53</v>
      </c>
      <c r="O12" s="92" t="s">
        <v>414</v>
      </c>
      <c r="P12" s="92">
        <v>0.78</v>
      </c>
      <c r="Q12" s="92">
        <v>0.57999999999999996</v>
      </c>
      <c r="R12" s="92">
        <v>0.21</v>
      </c>
      <c r="S12" s="92">
        <v>0.99</v>
      </c>
      <c r="T12" s="92">
        <v>1.42</v>
      </c>
    </row>
    <row r="13" spans="1:21">
      <c r="A13" s="38" t="s">
        <v>416</v>
      </c>
      <c r="B13" s="38">
        <v>2.2799999999999998</v>
      </c>
      <c r="C13" s="38">
        <v>1.7</v>
      </c>
      <c r="D13" s="38">
        <v>1.9</v>
      </c>
      <c r="E13" s="38">
        <v>1.06</v>
      </c>
      <c r="F13" s="38">
        <v>0.73</v>
      </c>
      <c r="H13" s="38" t="s">
        <v>416</v>
      </c>
      <c r="I13" s="38">
        <v>0.7</v>
      </c>
      <c r="J13" s="38">
        <v>0.87</v>
      </c>
      <c r="K13" s="38">
        <v>1.02</v>
      </c>
      <c r="L13" s="38">
        <v>0.67</v>
      </c>
      <c r="M13" s="38">
        <v>0.12</v>
      </c>
      <c r="O13" s="38" t="s">
        <v>416</v>
      </c>
      <c r="P13" s="7">
        <v>-0.38</v>
      </c>
      <c r="Q13" s="7">
        <v>-0.33</v>
      </c>
      <c r="R13" s="7">
        <v>-0.48</v>
      </c>
      <c r="S13" s="38">
        <v>0.89</v>
      </c>
      <c r="T13" s="38">
        <v>0.98</v>
      </c>
    </row>
    <row r="14" spans="1:21">
      <c r="A14" s="216" t="s">
        <v>415</v>
      </c>
      <c r="B14" s="92">
        <v>1.71</v>
      </c>
      <c r="C14" s="92">
        <v>1.3</v>
      </c>
      <c r="D14" s="92">
        <v>1.42</v>
      </c>
      <c r="E14" s="92">
        <v>0.78</v>
      </c>
      <c r="F14" s="92">
        <v>0.56000000000000005</v>
      </c>
      <c r="H14" s="92" t="s">
        <v>415</v>
      </c>
      <c r="I14" s="92">
        <v>0.52</v>
      </c>
      <c r="J14" s="92">
        <v>0.64</v>
      </c>
      <c r="K14" s="92">
        <v>0.74</v>
      </c>
      <c r="L14" s="92">
        <v>0.47</v>
      </c>
      <c r="M14" s="92">
        <v>0.09</v>
      </c>
      <c r="O14" s="92" t="s">
        <v>415</v>
      </c>
      <c r="P14" s="94">
        <v>-0.27</v>
      </c>
      <c r="Q14" s="94">
        <v>-0.27</v>
      </c>
      <c r="R14" s="94">
        <v>-0.34</v>
      </c>
      <c r="S14" s="92">
        <v>0.7</v>
      </c>
      <c r="T14" s="92">
        <v>0.82</v>
      </c>
    </row>
    <row r="15" spans="1:21">
      <c r="A15" s="38" t="s">
        <v>419</v>
      </c>
      <c r="B15" s="38">
        <v>2.4300000000000002</v>
      </c>
      <c r="C15" s="38">
        <v>2.2000000000000002</v>
      </c>
      <c r="D15" s="38">
        <v>2.33</v>
      </c>
      <c r="E15" s="38">
        <v>1.47</v>
      </c>
      <c r="F15" s="38">
        <v>0.49</v>
      </c>
      <c r="H15" s="38" t="s">
        <v>419</v>
      </c>
      <c r="I15" s="38">
        <v>1.21</v>
      </c>
      <c r="J15" s="38">
        <v>0.89</v>
      </c>
      <c r="K15" s="38">
        <v>1.1100000000000001</v>
      </c>
      <c r="L15" s="38">
        <v>0.54</v>
      </c>
      <c r="M15" s="38">
        <v>0.17</v>
      </c>
      <c r="O15" s="38" t="s">
        <v>419</v>
      </c>
      <c r="P15" s="38">
        <v>1.2</v>
      </c>
      <c r="Q15" s="38">
        <v>0.4</v>
      </c>
      <c r="R15" s="38">
        <v>0.27</v>
      </c>
      <c r="S15" s="38">
        <v>0.46</v>
      </c>
      <c r="T15" s="38">
        <v>0.62</v>
      </c>
    </row>
    <row r="16" spans="1:21">
      <c r="A16" s="92" t="s">
        <v>421</v>
      </c>
      <c r="B16" s="92">
        <v>141.86000000000001</v>
      </c>
      <c r="C16" s="92">
        <v>168.62</v>
      </c>
      <c r="D16" s="92">
        <v>162.85</v>
      </c>
      <c r="E16" s="92">
        <v>174.72</v>
      </c>
      <c r="F16" s="92">
        <v>71.34</v>
      </c>
      <c r="H16" s="92" t="s">
        <v>421</v>
      </c>
      <c r="I16" s="92">
        <v>229.7</v>
      </c>
      <c r="J16" s="92">
        <v>138.29</v>
      </c>
      <c r="K16" s="92">
        <v>149.72</v>
      </c>
      <c r="L16" s="92">
        <v>113.49</v>
      </c>
      <c r="M16" s="92">
        <v>185.64</v>
      </c>
      <c r="O16" s="92" t="s">
        <v>421</v>
      </c>
      <c r="P16" s="94">
        <v>-441.25</v>
      </c>
      <c r="Q16" s="94">
        <v>-148.44999999999999</v>
      </c>
      <c r="R16" s="94">
        <v>-77.81</v>
      </c>
      <c r="S16" s="92">
        <v>66.45</v>
      </c>
      <c r="T16" s="92">
        <v>76.13</v>
      </c>
    </row>
    <row r="17" spans="1:20">
      <c r="A17" s="216" t="s">
        <v>423</v>
      </c>
      <c r="B17" s="38">
        <v>1.04</v>
      </c>
      <c r="C17" s="38">
        <v>0.9</v>
      </c>
      <c r="D17" s="38">
        <v>0.87</v>
      </c>
      <c r="E17" s="38">
        <v>0.78</v>
      </c>
      <c r="F17" s="38">
        <v>0.93</v>
      </c>
      <c r="H17" s="38" t="s">
        <v>423</v>
      </c>
      <c r="I17" s="38">
        <v>0.75</v>
      </c>
      <c r="J17" s="38">
        <v>0.75</v>
      </c>
      <c r="K17" s="38">
        <v>0.55000000000000004</v>
      </c>
      <c r="L17" s="38">
        <v>0.44</v>
      </c>
      <c r="M17" s="38">
        <v>0.44</v>
      </c>
      <c r="O17" s="38" t="s">
        <v>423</v>
      </c>
      <c r="P17" s="38">
        <v>0.6</v>
      </c>
      <c r="Q17" s="38">
        <v>0.99</v>
      </c>
      <c r="R17" s="38">
        <v>1.05</v>
      </c>
      <c r="S17" s="38">
        <v>0.96</v>
      </c>
      <c r="T17" s="38">
        <v>1.18</v>
      </c>
    </row>
    <row r="18" spans="1:20">
      <c r="A18" s="216" t="s">
        <v>417</v>
      </c>
      <c r="B18" s="92">
        <v>4.8099999999999996</v>
      </c>
      <c r="C18" s="92">
        <v>3.61</v>
      </c>
      <c r="D18" s="92">
        <v>3.84</v>
      </c>
      <c r="E18" s="92">
        <v>2.1</v>
      </c>
      <c r="F18" s="92">
        <v>1.31</v>
      </c>
      <c r="H18" s="92" t="s">
        <v>417</v>
      </c>
      <c r="I18" s="92">
        <v>1.93</v>
      </c>
      <c r="J18" s="92">
        <v>2.5499999999999998</v>
      </c>
      <c r="K18" s="92">
        <v>3.37</v>
      </c>
      <c r="L18" s="92">
        <v>2.16</v>
      </c>
      <c r="M18" s="92">
        <v>0.37</v>
      </c>
      <c r="O18" s="92" t="s">
        <v>417</v>
      </c>
      <c r="P18" s="94">
        <v>-1.1299999999999999</v>
      </c>
      <c r="Q18" s="94">
        <v>-1.1100000000000001</v>
      </c>
      <c r="R18" s="94">
        <v>-1.33</v>
      </c>
      <c r="S18" s="92">
        <v>2.63</v>
      </c>
      <c r="T18" s="92">
        <v>2.93</v>
      </c>
    </row>
    <row r="19" spans="1:20">
      <c r="A19" s="216" t="s">
        <v>418</v>
      </c>
      <c r="B19" s="38">
        <v>15.3</v>
      </c>
      <c r="C19" s="38">
        <v>10.65</v>
      </c>
      <c r="D19" s="38">
        <v>10.95</v>
      </c>
      <c r="E19" s="38">
        <v>6.05</v>
      </c>
      <c r="F19" s="38">
        <v>3.94</v>
      </c>
      <c r="H19" s="38" t="s">
        <v>418</v>
      </c>
      <c r="I19" s="38">
        <v>7.75</v>
      </c>
      <c r="J19" s="38">
        <v>9.5399999999999991</v>
      </c>
      <c r="K19" s="38">
        <v>11.67</v>
      </c>
      <c r="L19" s="38">
        <v>8</v>
      </c>
      <c r="M19" s="38">
        <v>1.42</v>
      </c>
      <c r="O19" s="38" t="s">
        <v>418</v>
      </c>
      <c r="P19" s="7">
        <v>-5.4</v>
      </c>
      <c r="Q19" s="7">
        <v>-5.18</v>
      </c>
      <c r="R19" s="7">
        <v>-5.87</v>
      </c>
      <c r="S19" s="38">
        <v>11.84</v>
      </c>
      <c r="T19" s="38">
        <v>15.85</v>
      </c>
    </row>
    <row r="20" spans="1:20">
      <c r="A20" s="92" t="s">
        <v>428</v>
      </c>
      <c r="B20" s="92">
        <v>15.3</v>
      </c>
      <c r="C20" s="92">
        <v>10.65</v>
      </c>
      <c r="D20" s="92">
        <v>11.46</v>
      </c>
      <c r="E20" s="92">
        <v>5.93</v>
      </c>
      <c r="F20" s="92">
        <v>3.33</v>
      </c>
      <c r="H20" s="92" t="s">
        <v>428</v>
      </c>
      <c r="I20" s="92">
        <v>7.75</v>
      </c>
      <c r="J20" s="92">
        <v>9.5399999999999991</v>
      </c>
      <c r="K20" s="92">
        <v>11.67</v>
      </c>
      <c r="L20" s="92">
        <v>8</v>
      </c>
      <c r="M20" s="92">
        <v>1.42</v>
      </c>
      <c r="O20" s="92" t="s">
        <v>428</v>
      </c>
      <c r="P20" s="94">
        <v>-5.4</v>
      </c>
      <c r="Q20" s="94">
        <v>-5.18</v>
      </c>
      <c r="R20" s="94">
        <v>-5.87</v>
      </c>
      <c r="S20" s="92">
        <v>11.84</v>
      </c>
      <c r="T20" s="92">
        <v>15.85</v>
      </c>
    </row>
    <row r="21" spans="1:20">
      <c r="A21" s="38" t="s">
        <v>430</v>
      </c>
      <c r="B21" s="38">
        <v>13.31</v>
      </c>
      <c r="C21" s="38">
        <v>12.06</v>
      </c>
      <c r="D21" s="38">
        <v>11.2</v>
      </c>
      <c r="E21" s="38">
        <v>7.19</v>
      </c>
      <c r="F21" s="38">
        <v>4.79</v>
      </c>
      <c r="H21" s="38" t="s">
        <v>430</v>
      </c>
      <c r="I21" s="38">
        <v>7.21</v>
      </c>
      <c r="J21" s="38">
        <v>8.48</v>
      </c>
      <c r="K21" s="38">
        <v>9.52</v>
      </c>
      <c r="L21" s="38">
        <v>6.77</v>
      </c>
      <c r="M21" s="38">
        <v>3.11</v>
      </c>
      <c r="O21" s="38" t="s">
        <v>430</v>
      </c>
      <c r="P21" s="38">
        <v>4.8</v>
      </c>
      <c r="Q21" s="38">
        <v>3.4</v>
      </c>
      <c r="R21" s="38">
        <v>1.2</v>
      </c>
      <c r="S21" s="38">
        <v>5.54</v>
      </c>
      <c r="T21" s="38">
        <v>7.73</v>
      </c>
    </row>
    <row r="22" spans="1:20">
      <c r="A22" s="216" t="s">
        <v>420</v>
      </c>
      <c r="B22" s="92">
        <v>7.02</v>
      </c>
      <c r="C22" s="92">
        <v>5.15</v>
      </c>
      <c r="D22" s="92">
        <v>5.31</v>
      </c>
      <c r="E22" s="92">
        <v>2.8</v>
      </c>
      <c r="F22" s="92">
        <v>1.69</v>
      </c>
      <c r="H22" s="92" t="s">
        <v>420</v>
      </c>
      <c r="I22" s="92">
        <v>2.86</v>
      </c>
      <c r="J22" s="92">
        <v>3.78</v>
      </c>
      <c r="K22" s="92">
        <v>5.1100000000000003</v>
      </c>
      <c r="L22" s="92">
        <v>3.31</v>
      </c>
      <c r="M22" s="92">
        <v>0.56000000000000005</v>
      </c>
      <c r="O22" s="92" t="s">
        <v>420</v>
      </c>
      <c r="P22" s="94">
        <v>-1.73</v>
      </c>
      <c r="Q22" s="94">
        <v>-1.66</v>
      </c>
      <c r="R22" s="94">
        <v>-2.0099999999999998</v>
      </c>
      <c r="S22" s="92">
        <v>4.07</v>
      </c>
      <c r="T22" s="92">
        <v>4.67</v>
      </c>
    </row>
    <row r="23" spans="1:20">
      <c r="A23" s="38" t="s">
        <v>433</v>
      </c>
      <c r="B23" s="38">
        <v>14.21</v>
      </c>
      <c r="C23" s="38">
        <v>12.25</v>
      </c>
      <c r="D23" s="38">
        <v>11.96</v>
      </c>
      <c r="E23" s="38">
        <v>8.09</v>
      </c>
      <c r="F23" s="38">
        <v>4.33</v>
      </c>
      <c r="H23" s="38" t="s">
        <v>433</v>
      </c>
      <c r="I23" s="38">
        <v>10.68</v>
      </c>
      <c r="J23" s="38">
        <v>9.64</v>
      </c>
      <c r="K23" s="38">
        <v>11.44</v>
      </c>
      <c r="L23" s="38">
        <v>6.81</v>
      </c>
      <c r="M23" s="38">
        <v>3.71</v>
      </c>
      <c r="O23" s="38" t="s">
        <v>433</v>
      </c>
      <c r="P23" s="38">
        <v>11.43</v>
      </c>
      <c r="Q23" s="38">
        <v>8.48</v>
      </c>
      <c r="R23" s="38">
        <v>7.75</v>
      </c>
      <c r="S23" s="38">
        <v>8.3000000000000007</v>
      </c>
      <c r="T23" s="38">
        <v>10.26</v>
      </c>
    </row>
    <row r="24" spans="1:20">
      <c r="A24" s="93" t="s">
        <v>435</v>
      </c>
      <c r="B24" s="93" t="s">
        <v>390</v>
      </c>
      <c r="C24" s="93" t="s">
        <v>390</v>
      </c>
      <c r="D24" s="93" t="s">
        <v>390</v>
      </c>
      <c r="E24" s="93" t="s">
        <v>390</v>
      </c>
      <c r="F24" s="93" t="s">
        <v>390</v>
      </c>
      <c r="H24" s="93" t="s">
        <v>435</v>
      </c>
      <c r="I24" s="93" t="s">
        <v>390</v>
      </c>
      <c r="J24" s="93" t="s">
        <v>390</v>
      </c>
      <c r="K24" s="93" t="s">
        <v>390</v>
      </c>
      <c r="L24" s="93" t="s">
        <v>390</v>
      </c>
      <c r="M24" s="93" t="s">
        <v>390</v>
      </c>
      <c r="O24" s="93" t="s">
        <v>435</v>
      </c>
      <c r="P24" s="93" t="s">
        <v>390</v>
      </c>
      <c r="Q24" s="93" t="s">
        <v>390</v>
      </c>
      <c r="R24" s="93" t="s">
        <v>390</v>
      </c>
      <c r="S24" s="93" t="s">
        <v>390</v>
      </c>
      <c r="T24" s="93" t="s">
        <v>390</v>
      </c>
    </row>
    <row r="25" spans="1:20">
      <c r="A25" s="38" t="s">
        <v>437</v>
      </c>
      <c r="B25" s="38">
        <v>16.760000000000002</v>
      </c>
      <c r="C25" s="38">
        <v>17.420000000000002</v>
      </c>
      <c r="D25" s="38">
        <v>14.53</v>
      </c>
      <c r="E25" s="38">
        <v>18.88</v>
      </c>
      <c r="F25" s="38">
        <v>28.45</v>
      </c>
      <c r="H25" s="38" t="s">
        <v>437</v>
      </c>
      <c r="I25" s="38">
        <v>24.05</v>
      </c>
      <c r="J25" s="38">
        <v>17.010000000000002</v>
      </c>
      <c r="K25" s="38">
        <v>17.11</v>
      </c>
      <c r="L25" s="38">
        <v>21.65</v>
      </c>
      <c r="M25" s="38">
        <v>44.82</v>
      </c>
      <c r="O25" s="38" t="s">
        <v>437</v>
      </c>
      <c r="P25" s="38">
        <v>20.67</v>
      </c>
      <c r="Q25" s="38">
        <v>24.3</v>
      </c>
      <c r="R25" s="38">
        <v>69.47</v>
      </c>
      <c r="S25" s="38">
        <v>19.79</v>
      </c>
      <c r="T25" s="38">
        <v>13.41</v>
      </c>
    </row>
    <row r="26" spans="1:20">
      <c r="A26" s="92" t="s">
        <v>439</v>
      </c>
      <c r="B26" s="92">
        <v>12.44</v>
      </c>
      <c r="C26" s="92">
        <v>12.77</v>
      </c>
      <c r="D26" s="92">
        <v>10.7</v>
      </c>
      <c r="E26" s="92">
        <v>12.35</v>
      </c>
      <c r="F26" s="92">
        <v>15.9</v>
      </c>
      <c r="H26" s="92" t="s">
        <v>439</v>
      </c>
      <c r="I26" s="92">
        <v>12.85</v>
      </c>
      <c r="J26" s="92">
        <v>10.029999999999999</v>
      </c>
      <c r="K26" s="92">
        <v>10.43</v>
      </c>
      <c r="L26" s="92">
        <v>11.49</v>
      </c>
      <c r="M26" s="92">
        <v>15.75</v>
      </c>
      <c r="O26" s="92" t="s">
        <v>439</v>
      </c>
      <c r="P26" s="92">
        <v>9.09</v>
      </c>
      <c r="Q26" s="92">
        <v>8.7200000000000006</v>
      </c>
      <c r="R26" s="92">
        <v>11.93</v>
      </c>
      <c r="S26" s="92">
        <v>9.92</v>
      </c>
      <c r="T26" s="92">
        <v>7.84</v>
      </c>
    </row>
    <row r="27" spans="1:20">
      <c r="A27" s="38" t="s">
        <v>440</v>
      </c>
      <c r="B27" s="38">
        <v>0.56999999999999995</v>
      </c>
      <c r="C27" s="38">
        <v>0.55000000000000004</v>
      </c>
      <c r="D27" s="38">
        <v>0.45</v>
      </c>
      <c r="E27" s="38">
        <v>0.39</v>
      </c>
      <c r="F27" s="38">
        <v>0.46</v>
      </c>
      <c r="H27" s="38" t="s">
        <v>440</v>
      </c>
      <c r="I27" s="38">
        <v>0.33</v>
      </c>
      <c r="J27" s="38">
        <v>0.25</v>
      </c>
      <c r="K27" s="38">
        <v>0.24</v>
      </c>
      <c r="L27" s="38">
        <v>0.21</v>
      </c>
      <c r="M27" s="38">
        <v>0.24</v>
      </c>
      <c r="O27" s="38" t="s">
        <v>440</v>
      </c>
      <c r="P27" s="38">
        <v>0.16</v>
      </c>
      <c r="Q27" s="38">
        <v>0.14000000000000001</v>
      </c>
      <c r="R27" s="38">
        <v>0.15</v>
      </c>
      <c r="S27" s="38">
        <v>0.2</v>
      </c>
      <c r="T27" s="38">
        <v>0.19</v>
      </c>
    </row>
    <row r="28" spans="1:20">
      <c r="A28" s="92" t="s">
        <v>441</v>
      </c>
      <c r="B28" s="92">
        <v>0.26</v>
      </c>
      <c r="C28" s="92">
        <v>0.26</v>
      </c>
      <c r="D28" s="92">
        <v>0.32</v>
      </c>
      <c r="E28" s="92">
        <v>0.4</v>
      </c>
      <c r="F28" s="92">
        <v>0.4</v>
      </c>
      <c r="H28" s="92" t="s">
        <v>441</v>
      </c>
      <c r="I28" s="92">
        <v>0.37</v>
      </c>
      <c r="J28" s="92">
        <v>0.52</v>
      </c>
      <c r="K28" s="92">
        <v>0.36</v>
      </c>
      <c r="L28" s="92">
        <v>0.4</v>
      </c>
      <c r="M28" s="92">
        <v>0.53</v>
      </c>
      <c r="O28" s="92" t="s">
        <v>441</v>
      </c>
      <c r="P28" s="92">
        <v>0.65</v>
      </c>
      <c r="Q28" s="92">
        <v>0.85</v>
      </c>
      <c r="R28" s="92">
        <v>0.82</v>
      </c>
      <c r="S28" s="92">
        <v>0.6</v>
      </c>
      <c r="T28" s="92">
        <v>0.69</v>
      </c>
    </row>
    <row r="29" spans="1:20">
      <c r="A29" s="4" t="s">
        <v>442</v>
      </c>
      <c r="B29" s="4"/>
      <c r="C29" s="4"/>
      <c r="D29" s="4"/>
      <c r="E29" s="4"/>
      <c r="F29" s="4"/>
      <c r="H29" s="4" t="s">
        <v>442</v>
      </c>
      <c r="I29" s="4"/>
      <c r="J29" s="4"/>
      <c r="K29" s="4"/>
      <c r="L29" s="4"/>
      <c r="M29" s="4"/>
      <c r="O29" s="4" t="s">
        <v>442</v>
      </c>
      <c r="P29" s="4"/>
      <c r="Q29" s="4"/>
      <c r="R29" s="4"/>
      <c r="S29" s="4"/>
      <c r="T29" s="4"/>
    </row>
    <row r="30" spans="1:20">
      <c r="A30" s="92" t="s">
        <v>443</v>
      </c>
      <c r="B30" s="92">
        <v>171.41</v>
      </c>
      <c r="C30" s="92">
        <v>155.22999999999999</v>
      </c>
      <c r="D30" s="92">
        <v>142.38999999999999</v>
      </c>
      <c r="E30" s="92">
        <v>150.69</v>
      </c>
      <c r="F30" s="92">
        <v>131.05000000000001</v>
      </c>
      <c r="H30" s="92" t="s">
        <v>443</v>
      </c>
      <c r="I30" s="92">
        <v>419.42</v>
      </c>
      <c r="J30" s="92">
        <v>384.52</v>
      </c>
      <c r="K30" s="92">
        <v>371.68</v>
      </c>
      <c r="L30" s="92">
        <v>360.58</v>
      </c>
      <c r="M30" s="92">
        <v>257.5</v>
      </c>
      <c r="O30" s="92" t="s">
        <v>443</v>
      </c>
      <c r="P30" s="92">
        <v>509.6</v>
      </c>
      <c r="Q30" s="92">
        <v>525.91</v>
      </c>
      <c r="R30" s="92">
        <v>511.52</v>
      </c>
      <c r="S30" s="92">
        <v>485.78</v>
      </c>
      <c r="T30" s="92">
        <v>452.26</v>
      </c>
    </row>
    <row r="31" spans="1:20">
      <c r="A31" s="38" t="s">
        <v>444</v>
      </c>
      <c r="B31" s="38">
        <v>5.78</v>
      </c>
      <c r="C31" s="38">
        <v>4.92</v>
      </c>
      <c r="D31" s="38">
        <v>4.42</v>
      </c>
      <c r="E31" s="38">
        <v>3.11</v>
      </c>
      <c r="F31" s="38">
        <v>2.13</v>
      </c>
      <c r="H31" s="38" t="s">
        <v>444</v>
      </c>
      <c r="I31" s="38">
        <v>5.69</v>
      </c>
      <c r="J31" s="38">
        <v>5.7</v>
      </c>
      <c r="K31" s="38">
        <v>5.27</v>
      </c>
      <c r="L31" s="38">
        <v>3.57</v>
      </c>
      <c r="M31" s="38">
        <v>1.36</v>
      </c>
      <c r="O31" s="38" t="s">
        <v>444</v>
      </c>
      <c r="P31" s="38">
        <v>3.97</v>
      </c>
      <c r="Q31" s="38">
        <v>3.04</v>
      </c>
      <c r="R31" s="38">
        <v>1.08</v>
      </c>
      <c r="S31" s="38">
        <v>4.8</v>
      </c>
      <c r="T31" s="38">
        <v>6.42</v>
      </c>
    </row>
    <row r="32" spans="1:20">
      <c r="A32" s="92" t="s">
        <v>269</v>
      </c>
      <c r="B32" s="92">
        <v>3.34</v>
      </c>
      <c r="C32" s="92">
        <v>2.7</v>
      </c>
      <c r="D32" s="92">
        <v>2.31</v>
      </c>
      <c r="E32" s="92">
        <v>1.49</v>
      </c>
      <c r="F32" s="92">
        <v>0.66</v>
      </c>
      <c r="H32" s="92" t="s">
        <v>269</v>
      </c>
      <c r="I32" s="92">
        <v>2.36</v>
      </c>
      <c r="J32" s="92">
        <v>2.84</v>
      </c>
      <c r="K32" s="92">
        <v>2.76</v>
      </c>
      <c r="L32" s="92">
        <v>1.71</v>
      </c>
      <c r="M32" s="92">
        <v>0.24</v>
      </c>
      <c r="O32" s="92" t="s">
        <v>269</v>
      </c>
      <c r="P32" s="92">
        <v>1.17</v>
      </c>
      <c r="Q32" s="92">
        <v>0.41</v>
      </c>
      <c r="R32" s="94">
        <v>-0.78</v>
      </c>
      <c r="S32" s="92">
        <v>3.65</v>
      </c>
      <c r="T32" s="92">
        <v>4.26</v>
      </c>
    </row>
    <row r="33" spans="1:20">
      <c r="A33" s="38" t="s">
        <v>270</v>
      </c>
      <c r="B33" s="38">
        <v>2.98</v>
      </c>
      <c r="C33" s="38">
        <v>2.0499999999999998</v>
      </c>
      <c r="D33" s="38">
        <v>2.09</v>
      </c>
      <c r="E33" s="38">
        <v>1.02</v>
      </c>
      <c r="F33" s="38">
        <v>0.55000000000000004</v>
      </c>
      <c r="H33" s="38" t="s">
        <v>270</v>
      </c>
      <c r="I33" s="38">
        <v>2.2200000000000002</v>
      </c>
      <c r="J33" s="38">
        <v>2.5099999999999998</v>
      </c>
      <c r="K33" s="38">
        <v>2.78</v>
      </c>
      <c r="L33" s="38">
        <v>1.73</v>
      </c>
      <c r="M33" s="38">
        <v>0.27</v>
      </c>
      <c r="O33" s="38" t="s">
        <v>270</v>
      </c>
      <c r="P33" s="7">
        <v>-1.41</v>
      </c>
      <c r="Q33" s="7">
        <v>-1.45</v>
      </c>
      <c r="R33" s="7">
        <v>-1.77</v>
      </c>
      <c r="S33" s="38">
        <v>3.53</v>
      </c>
      <c r="T33" s="38">
        <v>4.05</v>
      </c>
    </row>
    <row r="34" spans="1:20">
      <c r="A34" s="216" t="s">
        <v>273</v>
      </c>
      <c r="B34" s="92">
        <v>2.94</v>
      </c>
      <c r="C34" s="92">
        <v>2.02</v>
      </c>
      <c r="D34" s="92">
        <v>2</v>
      </c>
      <c r="E34" s="92">
        <v>1.01</v>
      </c>
      <c r="F34" s="92">
        <v>0.54</v>
      </c>
      <c r="H34" s="92" t="s">
        <v>273</v>
      </c>
      <c r="I34" s="92">
        <v>2.2000000000000002</v>
      </c>
      <c r="J34" s="92">
        <v>2.48</v>
      </c>
      <c r="K34" s="92">
        <v>2.75</v>
      </c>
      <c r="L34" s="92">
        <v>1.71</v>
      </c>
      <c r="M34" s="92">
        <v>0.26</v>
      </c>
      <c r="O34" s="92" t="s">
        <v>273</v>
      </c>
      <c r="P34" s="94">
        <v>-1.42</v>
      </c>
      <c r="Q34" s="94">
        <v>-1.45</v>
      </c>
      <c r="R34" s="94">
        <v>-1.77</v>
      </c>
      <c r="S34" s="92">
        <v>3.38</v>
      </c>
      <c r="T34" s="92">
        <v>3.8</v>
      </c>
    </row>
    <row r="35" spans="1:20">
      <c r="A35" s="38" t="s">
        <v>328</v>
      </c>
      <c r="B35" s="38">
        <v>19.53</v>
      </c>
      <c r="C35" s="38">
        <v>19.64</v>
      </c>
      <c r="D35" s="38">
        <v>19.37</v>
      </c>
      <c r="E35" s="38">
        <v>17.64</v>
      </c>
      <c r="F35" s="38">
        <v>16.75</v>
      </c>
      <c r="H35" s="38" t="s">
        <v>328</v>
      </c>
      <c r="I35" s="38">
        <v>29.84</v>
      </c>
      <c r="J35" s="38">
        <v>27.54</v>
      </c>
      <c r="K35" s="38">
        <v>25.09</v>
      </c>
      <c r="L35" s="38">
        <v>22.66</v>
      </c>
      <c r="M35" s="38">
        <v>20.62</v>
      </c>
      <c r="O35" s="38" t="s">
        <v>328</v>
      </c>
      <c r="P35" s="38">
        <v>25.47</v>
      </c>
      <c r="Q35" s="38">
        <v>26.95</v>
      </c>
      <c r="R35" s="38">
        <v>28.52</v>
      </c>
      <c r="S35" s="38">
        <v>30.82</v>
      </c>
      <c r="T35" s="38">
        <v>28.41</v>
      </c>
    </row>
    <row r="36" spans="1:20">
      <c r="A36" s="92" t="s">
        <v>329</v>
      </c>
      <c r="B36" s="94">
        <v>-10.29</v>
      </c>
      <c r="C36" s="94">
        <v>-9</v>
      </c>
      <c r="D36" s="94">
        <v>-7.14</v>
      </c>
      <c r="E36" s="94">
        <v>-10.91</v>
      </c>
      <c r="F36" s="94">
        <v>-12.2</v>
      </c>
      <c r="H36" s="92" t="s">
        <v>329</v>
      </c>
      <c r="I36" s="94">
        <v>-2.72</v>
      </c>
      <c r="J36" s="94">
        <v>-6.3</v>
      </c>
      <c r="K36" s="92">
        <v>2.41</v>
      </c>
      <c r="L36" s="92">
        <v>0.47</v>
      </c>
      <c r="M36" s="94">
        <v>-2.77</v>
      </c>
      <c r="O36" s="92" t="s">
        <v>329</v>
      </c>
      <c r="P36" s="92">
        <v>16.16</v>
      </c>
      <c r="Q36" s="92">
        <v>16.39</v>
      </c>
      <c r="R36" s="92">
        <v>16.559999999999999</v>
      </c>
      <c r="S36" s="92">
        <v>17.260000000000002</v>
      </c>
      <c r="T36" s="92">
        <v>13.26</v>
      </c>
    </row>
    <row r="37" spans="1:20">
      <c r="A37" s="38" t="s">
        <v>446</v>
      </c>
      <c r="B37" s="38">
        <v>5.95</v>
      </c>
      <c r="C37" s="38">
        <v>4.8099999999999996</v>
      </c>
      <c r="D37" s="38">
        <v>4.5599999999999996</v>
      </c>
      <c r="E37" s="38">
        <v>3.38</v>
      </c>
      <c r="F37" s="38">
        <v>1.86</v>
      </c>
      <c r="H37" s="38" t="s">
        <v>446</v>
      </c>
      <c r="I37" s="38">
        <v>8.2100000000000009</v>
      </c>
      <c r="J37" s="38">
        <v>6.32</v>
      </c>
      <c r="K37" s="38">
        <v>6.18</v>
      </c>
      <c r="L37" s="38">
        <v>3.51</v>
      </c>
      <c r="M37" s="38">
        <v>1.57</v>
      </c>
      <c r="O37" s="38" t="s">
        <v>446</v>
      </c>
      <c r="P37" s="38">
        <v>9.1300000000000008</v>
      </c>
      <c r="Q37" s="38">
        <v>7.32</v>
      </c>
      <c r="R37" s="38">
        <v>6.75</v>
      </c>
      <c r="S37" s="38">
        <v>6.9</v>
      </c>
      <c r="T37" s="38">
        <v>8.14</v>
      </c>
    </row>
    <row r="38" spans="1:20">
      <c r="A38" s="92" t="s">
        <v>371</v>
      </c>
      <c r="B38" s="92">
        <v>4.17</v>
      </c>
      <c r="C38" s="92">
        <v>3.41</v>
      </c>
      <c r="D38" s="92">
        <v>3.32</v>
      </c>
      <c r="E38" s="92">
        <v>2.21</v>
      </c>
      <c r="F38" s="92">
        <v>0.64</v>
      </c>
      <c r="H38" s="92" t="s">
        <v>371</v>
      </c>
      <c r="I38" s="92">
        <v>5.0599999999999996</v>
      </c>
      <c r="J38" s="92">
        <v>3.43</v>
      </c>
      <c r="K38" s="92">
        <v>4.13</v>
      </c>
      <c r="L38" s="92">
        <v>1.94</v>
      </c>
      <c r="M38" s="92">
        <v>0.44</v>
      </c>
      <c r="O38" s="92" t="s">
        <v>371</v>
      </c>
      <c r="P38" s="92">
        <v>6.09</v>
      </c>
      <c r="Q38" s="92">
        <v>2.13</v>
      </c>
      <c r="R38" s="92">
        <v>1.36</v>
      </c>
      <c r="S38" s="92">
        <v>2.2400000000000002</v>
      </c>
      <c r="T38" s="92">
        <v>2.82</v>
      </c>
    </row>
    <row r="39" spans="1:20">
      <c r="A39" s="38" t="s">
        <v>447</v>
      </c>
      <c r="B39" s="38">
        <v>230</v>
      </c>
      <c r="C39" s="38">
        <v>244</v>
      </c>
      <c r="D39" s="38">
        <v>250</v>
      </c>
      <c r="E39" s="38">
        <v>226</v>
      </c>
      <c r="F39" s="38">
        <v>225</v>
      </c>
      <c r="H39" s="38" t="s">
        <v>447</v>
      </c>
      <c r="I39" s="38">
        <v>156.80000000000001</v>
      </c>
      <c r="J39" s="38">
        <v>156.30000000000001</v>
      </c>
      <c r="K39" s="38">
        <v>155.69999999999999</v>
      </c>
      <c r="L39" s="38">
        <v>156.1</v>
      </c>
      <c r="M39" s="38">
        <v>154.30000000000001</v>
      </c>
      <c r="O39" s="38" t="s">
        <v>447</v>
      </c>
      <c r="P39" s="38">
        <v>62.03</v>
      </c>
      <c r="Q39" s="38">
        <v>60</v>
      </c>
      <c r="R39" s="38">
        <v>59.17</v>
      </c>
      <c r="S39" s="38">
        <v>61.2</v>
      </c>
      <c r="T39" s="38">
        <v>61.03</v>
      </c>
    </row>
    <row r="40" spans="1:20">
      <c r="A40" s="92" t="s">
        <v>448</v>
      </c>
      <c r="B40" s="92">
        <v>227</v>
      </c>
      <c r="C40" s="92">
        <v>241</v>
      </c>
      <c r="D40" s="92">
        <v>239</v>
      </c>
      <c r="E40" s="92">
        <v>224</v>
      </c>
      <c r="F40" s="92">
        <v>222</v>
      </c>
      <c r="H40" s="92" t="s">
        <v>448</v>
      </c>
      <c r="I40" s="92">
        <v>155.80000000000001</v>
      </c>
      <c r="J40" s="92">
        <v>154.6</v>
      </c>
      <c r="K40" s="92">
        <v>154.19999999999999</v>
      </c>
      <c r="L40" s="92">
        <v>154.1</v>
      </c>
      <c r="M40" s="92">
        <v>152.9</v>
      </c>
      <c r="O40" s="92" t="s">
        <v>448</v>
      </c>
      <c r="P40" s="92">
        <v>60.83</v>
      </c>
      <c r="Q40" s="92">
        <v>60</v>
      </c>
      <c r="R40" s="92">
        <v>59.17</v>
      </c>
      <c r="S40" s="92">
        <v>59.47</v>
      </c>
      <c r="T40" s="92">
        <v>57.87</v>
      </c>
    </row>
    <row r="41" spans="1:20">
      <c r="A41" s="38" t="s">
        <v>449</v>
      </c>
      <c r="B41" s="38">
        <v>220.5</v>
      </c>
      <c r="C41" s="38">
        <v>230.5</v>
      </c>
      <c r="D41" s="38">
        <v>245.2</v>
      </c>
      <c r="E41" s="38">
        <v>224.5</v>
      </c>
      <c r="F41" s="38">
        <v>223</v>
      </c>
      <c r="H41" s="38" t="s">
        <v>449</v>
      </c>
      <c r="I41" s="38">
        <v>155.80000000000001</v>
      </c>
      <c r="J41" s="38">
        <v>154.6</v>
      </c>
      <c r="K41" s="38">
        <v>153.9</v>
      </c>
      <c r="L41" s="38">
        <v>154.30000000000001</v>
      </c>
      <c r="M41" s="38">
        <v>153.30000000000001</v>
      </c>
      <c r="O41" s="38" t="s">
        <v>449</v>
      </c>
      <c r="P41" s="38">
        <v>60.83</v>
      </c>
      <c r="Q41" s="38">
        <v>60.3</v>
      </c>
      <c r="R41" s="38">
        <v>59.4</v>
      </c>
      <c r="S41" s="38">
        <v>59.7</v>
      </c>
      <c r="T41" s="38">
        <v>58.17</v>
      </c>
    </row>
    <row r="42" spans="1:20">
      <c r="A42" s="93" t="s">
        <v>450</v>
      </c>
      <c r="B42" s="93" t="s">
        <v>390</v>
      </c>
      <c r="C42" s="93" t="s">
        <v>390</v>
      </c>
      <c r="D42" s="93" t="s">
        <v>390</v>
      </c>
      <c r="E42" s="93" t="s">
        <v>390</v>
      </c>
      <c r="F42" s="93" t="s">
        <v>390</v>
      </c>
      <c r="H42" s="93" t="s">
        <v>450</v>
      </c>
      <c r="I42" s="93" t="s">
        <v>390</v>
      </c>
      <c r="J42" s="93" t="s">
        <v>390</v>
      </c>
      <c r="K42" s="93" t="s">
        <v>390</v>
      </c>
      <c r="L42" s="93" t="s">
        <v>390</v>
      </c>
      <c r="M42" s="93" t="s">
        <v>390</v>
      </c>
      <c r="O42" s="93" t="s">
        <v>450</v>
      </c>
      <c r="P42" s="93" t="s">
        <v>390</v>
      </c>
      <c r="Q42" s="93" t="s">
        <v>390</v>
      </c>
      <c r="R42" s="93" t="s">
        <v>390</v>
      </c>
      <c r="S42" s="93" t="s">
        <v>390</v>
      </c>
      <c r="T42" s="93" t="s">
        <v>390</v>
      </c>
    </row>
    <row r="43" spans="1:20">
      <c r="A43" s="38" t="s">
        <v>451</v>
      </c>
      <c r="B43" s="38">
        <v>788.48</v>
      </c>
      <c r="C43" s="38">
        <v>230.96</v>
      </c>
      <c r="D43" s="38">
        <v>148.32</v>
      </c>
      <c r="E43" s="38">
        <v>189.73</v>
      </c>
      <c r="F43" s="38">
        <v>60.42</v>
      </c>
      <c r="H43" s="38" t="s">
        <v>451</v>
      </c>
      <c r="I43" s="98">
        <v>2544.13</v>
      </c>
      <c r="J43" s="98">
        <v>4435.47</v>
      </c>
      <c r="K43" s="98">
        <v>5144.07</v>
      </c>
      <c r="L43" s="98">
        <v>7170.34</v>
      </c>
      <c r="M43" s="38">
        <v>186.4</v>
      </c>
      <c r="O43" s="38" t="s">
        <v>451</v>
      </c>
      <c r="P43" s="38">
        <v>710.39</v>
      </c>
      <c r="Q43" s="38">
        <v>823.16</v>
      </c>
      <c r="R43" s="38">
        <v>810.66</v>
      </c>
      <c r="S43" s="38">
        <v>699.52</v>
      </c>
      <c r="T43" s="38">
        <v>622.54</v>
      </c>
    </row>
    <row r="44" spans="1:20">
      <c r="A44" s="92" t="s">
        <v>340</v>
      </c>
      <c r="B44" s="92">
        <v>17.8</v>
      </c>
      <c r="C44" s="92">
        <v>17.989999999999998</v>
      </c>
      <c r="D44" s="92">
        <v>18.149999999999999</v>
      </c>
      <c r="E44" s="92">
        <v>19.36</v>
      </c>
      <c r="F44" s="92">
        <v>20.53</v>
      </c>
      <c r="H44" s="92" t="s">
        <v>340</v>
      </c>
      <c r="I44" s="92">
        <v>23.96</v>
      </c>
      <c r="J44" s="92">
        <v>23.79</v>
      </c>
      <c r="K44" s="92">
        <v>25.14</v>
      </c>
      <c r="L44" s="92">
        <v>25.9</v>
      </c>
      <c r="M44" s="92">
        <v>23.77</v>
      </c>
      <c r="O44" s="92" t="s">
        <v>340</v>
      </c>
      <c r="P44" s="92">
        <v>30.65</v>
      </c>
      <c r="Q44" s="92">
        <v>15.57</v>
      </c>
      <c r="R44" s="92">
        <v>14.71</v>
      </c>
      <c r="S44" s="92">
        <v>25.12</v>
      </c>
      <c r="T44" s="92">
        <v>22.81</v>
      </c>
    </row>
    <row r="45" spans="1:20">
      <c r="A45" s="38" t="s">
        <v>288</v>
      </c>
      <c r="B45" s="38">
        <v>19.510000000000002</v>
      </c>
      <c r="C45" s="38">
        <v>19.43</v>
      </c>
      <c r="D45" s="38">
        <v>18.309999999999999</v>
      </c>
      <c r="E45" s="38">
        <v>17.3</v>
      </c>
      <c r="F45" s="38">
        <v>16.78</v>
      </c>
      <c r="H45" s="38" t="s">
        <v>288</v>
      </c>
      <c r="I45" s="38">
        <v>14.36</v>
      </c>
      <c r="J45" s="38">
        <v>14.8</v>
      </c>
      <c r="K45" s="38">
        <v>15.54</v>
      </c>
      <c r="L45" s="38">
        <v>15.57</v>
      </c>
      <c r="M45" s="38">
        <v>15.34</v>
      </c>
      <c r="O45" s="38" t="s">
        <v>288</v>
      </c>
      <c r="P45" s="38">
        <v>12.7</v>
      </c>
      <c r="Q45" s="38">
        <v>11.74</v>
      </c>
      <c r="R45" s="38">
        <v>10.58</v>
      </c>
      <c r="S45" s="38">
        <v>10.199999999999999</v>
      </c>
      <c r="T45" s="38">
        <v>10</v>
      </c>
    </row>
    <row r="46" spans="1:20">
      <c r="A46" s="92" t="s">
        <v>452</v>
      </c>
      <c r="B46" s="92">
        <v>9.69</v>
      </c>
      <c r="C46" s="92">
        <v>9.4600000000000009</v>
      </c>
      <c r="D46" s="92">
        <v>9.07</v>
      </c>
      <c r="E46" s="92">
        <v>9.19</v>
      </c>
      <c r="F46" s="92">
        <v>8.35</v>
      </c>
      <c r="H46" s="92" t="s">
        <v>452</v>
      </c>
      <c r="I46" s="92">
        <v>9.23</v>
      </c>
      <c r="J46" s="92">
        <v>9.36</v>
      </c>
      <c r="K46" s="92">
        <v>9.84</v>
      </c>
      <c r="L46" s="92">
        <v>9.9499999999999993</v>
      </c>
      <c r="M46" s="92">
        <v>9.1</v>
      </c>
      <c r="O46" s="92" t="s">
        <v>452</v>
      </c>
      <c r="P46" s="92">
        <v>9.16</v>
      </c>
      <c r="Q46" s="92">
        <v>8.68</v>
      </c>
      <c r="R46" s="92">
        <v>7.91</v>
      </c>
      <c r="S46" s="92">
        <v>7.56</v>
      </c>
      <c r="T46" s="92">
        <v>7.21</v>
      </c>
    </row>
    <row r="47" spans="1:20">
      <c r="A47" s="38" t="s">
        <v>453</v>
      </c>
      <c r="B47" s="38">
        <v>13.88</v>
      </c>
      <c r="C47" s="38">
        <v>14.46</v>
      </c>
      <c r="D47" s="38">
        <v>14.22</v>
      </c>
      <c r="E47" s="38">
        <v>14.36</v>
      </c>
      <c r="F47" s="38">
        <v>12.78</v>
      </c>
      <c r="H47" s="38" t="s">
        <v>453</v>
      </c>
      <c r="I47" s="38">
        <v>12.74</v>
      </c>
      <c r="J47" s="38">
        <v>14.82</v>
      </c>
      <c r="K47" s="38">
        <v>18.88</v>
      </c>
      <c r="L47" s="38">
        <v>20.21</v>
      </c>
      <c r="M47" s="38">
        <v>16.829999999999998</v>
      </c>
      <c r="O47" s="38" t="s">
        <v>453</v>
      </c>
      <c r="P47" s="38">
        <v>9.86</v>
      </c>
      <c r="Q47" s="38">
        <v>9.7899999999999991</v>
      </c>
      <c r="R47" s="38">
        <v>10.029999999999999</v>
      </c>
      <c r="S47" s="38">
        <v>10.29</v>
      </c>
      <c r="T47" s="38">
        <v>9.9600000000000009</v>
      </c>
    </row>
    <row r="48" spans="1:20">
      <c r="A48" s="92" t="s">
        <v>309</v>
      </c>
      <c r="B48" s="92">
        <v>2.81</v>
      </c>
      <c r="C48" s="92">
        <v>2.77</v>
      </c>
      <c r="D48" s="92">
        <v>2.7</v>
      </c>
      <c r="E48" s="92">
        <v>2.69</v>
      </c>
      <c r="F48" s="92">
        <v>2.36</v>
      </c>
      <c r="H48" s="92" t="s">
        <v>309</v>
      </c>
      <c r="I48" s="92">
        <v>3.68</v>
      </c>
      <c r="J48" s="92">
        <v>3.95</v>
      </c>
      <c r="K48" s="92">
        <v>4.54</v>
      </c>
      <c r="L48" s="92">
        <v>4.57</v>
      </c>
      <c r="M48" s="92">
        <v>3.99</v>
      </c>
      <c r="O48" s="92" t="s">
        <v>309</v>
      </c>
      <c r="P48" s="92">
        <v>4.17</v>
      </c>
      <c r="Q48" s="92">
        <v>4.0599999999999996</v>
      </c>
      <c r="R48" s="92">
        <v>3.89</v>
      </c>
      <c r="S48" s="92">
        <v>3.79</v>
      </c>
      <c r="T48" s="92">
        <v>3.57</v>
      </c>
    </row>
    <row r="49" spans="1:20">
      <c r="A49" s="4" t="s">
        <v>454</v>
      </c>
      <c r="B49" s="4"/>
      <c r="C49" s="4"/>
      <c r="D49" s="4"/>
      <c r="E49" s="4"/>
      <c r="F49" s="4"/>
      <c r="H49" s="4" t="s">
        <v>454</v>
      </c>
      <c r="I49" s="4"/>
      <c r="J49" s="4"/>
      <c r="K49" s="4"/>
      <c r="L49" s="4"/>
      <c r="M49" s="4"/>
      <c r="O49" s="4" t="s">
        <v>454</v>
      </c>
      <c r="P49" s="4"/>
      <c r="Q49" s="4"/>
      <c r="R49" s="4"/>
      <c r="S49" s="4"/>
      <c r="T49" s="4"/>
    </row>
    <row r="50" spans="1:20">
      <c r="A50" s="93" t="s">
        <v>455</v>
      </c>
      <c r="B50" s="93">
        <v>2.81</v>
      </c>
      <c r="C50" s="93">
        <v>2.77</v>
      </c>
      <c r="D50" s="93">
        <v>2.7</v>
      </c>
      <c r="E50" s="93">
        <v>2.69</v>
      </c>
      <c r="F50" s="93">
        <v>2.36</v>
      </c>
      <c r="H50" s="93" t="s">
        <v>455</v>
      </c>
      <c r="I50" s="93">
        <v>3.68</v>
      </c>
      <c r="J50" s="93">
        <v>3.95</v>
      </c>
      <c r="K50" s="93">
        <v>4.54</v>
      </c>
      <c r="L50" s="93">
        <v>4.57</v>
      </c>
      <c r="M50" s="93">
        <v>3.99</v>
      </c>
      <c r="O50" s="93" t="s">
        <v>455</v>
      </c>
      <c r="P50" s="93">
        <v>4.17</v>
      </c>
      <c r="Q50" s="93">
        <v>4.0599999999999996</v>
      </c>
      <c r="R50" s="93">
        <v>3.89</v>
      </c>
      <c r="S50" s="93">
        <v>3.79</v>
      </c>
      <c r="T50" s="93">
        <v>3.57</v>
      </c>
    </row>
    <row r="51" spans="1:20">
      <c r="A51" s="38" t="s">
        <v>456</v>
      </c>
      <c r="B51" s="38">
        <v>2.2799999999999998</v>
      </c>
      <c r="C51" s="38">
        <v>1.7</v>
      </c>
      <c r="D51" s="38">
        <v>1.9</v>
      </c>
      <c r="E51" s="38">
        <v>1.06</v>
      </c>
      <c r="F51" s="38">
        <v>0.73</v>
      </c>
      <c r="H51" s="38" t="s">
        <v>456</v>
      </c>
      <c r="I51" s="38">
        <v>0.7</v>
      </c>
      <c r="J51" s="38">
        <v>0.87</v>
      </c>
      <c r="K51" s="38">
        <v>1.02</v>
      </c>
      <c r="L51" s="38">
        <v>0.67</v>
      </c>
      <c r="M51" s="38">
        <v>0.12</v>
      </c>
      <c r="O51" s="38" t="s">
        <v>456</v>
      </c>
      <c r="P51" s="7">
        <v>-0.38</v>
      </c>
      <c r="Q51" s="7">
        <v>-0.33</v>
      </c>
      <c r="R51" s="7">
        <v>-0.48</v>
      </c>
      <c r="S51" s="38">
        <v>0.89</v>
      </c>
      <c r="T51" s="38">
        <v>0.98</v>
      </c>
    </row>
    <row r="52" spans="1:20">
      <c r="A52" s="93" t="s">
        <v>457</v>
      </c>
      <c r="B52" s="93">
        <v>6.39</v>
      </c>
      <c r="C52" s="93">
        <v>4.71</v>
      </c>
      <c r="D52" s="93">
        <v>5.15</v>
      </c>
      <c r="E52" s="93">
        <v>2.85</v>
      </c>
      <c r="F52" s="93">
        <v>1.72</v>
      </c>
      <c r="H52" s="93" t="s">
        <v>457</v>
      </c>
      <c r="I52" s="93">
        <v>2.59</v>
      </c>
      <c r="J52" s="93">
        <v>3.45</v>
      </c>
      <c r="K52" s="93">
        <v>4.6500000000000004</v>
      </c>
      <c r="L52" s="93">
        <v>3.06</v>
      </c>
      <c r="M52" s="93">
        <v>0.49</v>
      </c>
      <c r="O52" s="93" t="s">
        <v>457</v>
      </c>
      <c r="P52" s="93">
        <v>-1.59</v>
      </c>
      <c r="Q52" s="93">
        <v>-1.33</v>
      </c>
      <c r="R52" s="93">
        <v>-1.88</v>
      </c>
      <c r="S52" s="93">
        <v>3.37</v>
      </c>
      <c r="T52" s="93">
        <v>3.51</v>
      </c>
    </row>
    <row r="53" spans="1:20">
      <c r="A53" s="38" t="s">
        <v>458</v>
      </c>
      <c r="B53" s="38">
        <v>75.28</v>
      </c>
      <c r="C53" s="38">
        <v>76.709999999999994</v>
      </c>
      <c r="D53" s="38">
        <v>74.63</v>
      </c>
      <c r="E53" s="38">
        <v>73.41</v>
      </c>
      <c r="F53" s="38">
        <v>76.64</v>
      </c>
      <c r="H53" s="38" t="s">
        <v>458</v>
      </c>
      <c r="I53" s="38">
        <v>74.47</v>
      </c>
      <c r="J53" s="38">
        <v>73.72</v>
      </c>
      <c r="K53" s="38">
        <v>72.42</v>
      </c>
      <c r="L53" s="38">
        <v>70.739999999999995</v>
      </c>
      <c r="M53" s="38">
        <v>75.77</v>
      </c>
      <c r="O53" s="38" t="s">
        <v>458</v>
      </c>
      <c r="P53" s="38"/>
      <c r="Q53" s="38"/>
      <c r="R53" s="38"/>
      <c r="S53" s="38">
        <v>80.599999999999994</v>
      </c>
      <c r="T53" s="38">
        <v>85.58</v>
      </c>
    </row>
    <row r="54" spans="1:20">
      <c r="A54" s="93" t="s">
        <v>459</v>
      </c>
      <c r="B54" s="93">
        <v>4.8099999999999996</v>
      </c>
      <c r="C54" s="93">
        <v>3.61</v>
      </c>
      <c r="D54" s="93">
        <v>3.84</v>
      </c>
      <c r="E54" s="93">
        <v>2.1</v>
      </c>
      <c r="F54" s="93">
        <v>1.31</v>
      </c>
      <c r="H54" s="93" t="s">
        <v>459</v>
      </c>
      <c r="I54" s="93">
        <v>1.93</v>
      </c>
      <c r="J54" s="93">
        <v>2.5499999999999998</v>
      </c>
      <c r="K54" s="93">
        <v>3.37</v>
      </c>
      <c r="L54" s="93">
        <v>2.16</v>
      </c>
      <c r="M54" s="93">
        <v>0.37</v>
      </c>
      <c r="O54" s="93" t="s">
        <v>459</v>
      </c>
      <c r="P54" s="93">
        <v>-1.1299999999999999</v>
      </c>
      <c r="Q54" s="93">
        <v>-1.1100000000000001</v>
      </c>
      <c r="R54" s="93">
        <v>-1.33</v>
      </c>
      <c r="S54" s="93">
        <v>2.63</v>
      </c>
      <c r="T54" s="93">
        <v>2.93</v>
      </c>
    </row>
    <row r="55" spans="1:20">
      <c r="A55" s="38" t="s">
        <v>460</v>
      </c>
      <c r="B55" s="38">
        <v>3.18</v>
      </c>
      <c r="C55" s="38">
        <v>2.95</v>
      </c>
      <c r="D55" s="38">
        <v>2.85</v>
      </c>
      <c r="E55" s="38">
        <v>2.89</v>
      </c>
      <c r="F55" s="38">
        <v>3</v>
      </c>
      <c r="H55" s="38" t="s">
        <v>460</v>
      </c>
      <c r="I55" s="38">
        <v>4.01</v>
      </c>
      <c r="J55" s="38">
        <v>3.75</v>
      </c>
      <c r="K55" s="38">
        <v>3.47</v>
      </c>
      <c r="L55" s="38">
        <v>3.7</v>
      </c>
      <c r="M55" s="38">
        <v>3.82</v>
      </c>
      <c r="O55" s="38" t="s">
        <v>460</v>
      </c>
      <c r="P55" s="38">
        <v>4.78</v>
      </c>
      <c r="Q55" s="38">
        <v>4.68</v>
      </c>
      <c r="R55" s="38">
        <v>4.4000000000000004</v>
      </c>
      <c r="S55" s="38">
        <v>4.49</v>
      </c>
      <c r="T55" s="38">
        <v>5.41</v>
      </c>
    </row>
    <row r="56" spans="1:20">
      <c r="A56" s="93" t="s">
        <v>461</v>
      </c>
      <c r="B56" s="93">
        <v>15.3</v>
      </c>
      <c r="C56" s="93">
        <v>10.65</v>
      </c>
      <c r="D56" s="93">
        <v>10.95</v>
      </c>
      <c r="E56" s="93">
        <v>6.05</v>
      </c>
      <c r="F56" s="93">
        <v>3.94</v>
      </c>
      <c r="H56" s="93" t="s">
        <v>461</v>
      </c>
      <c r="I56" s="93">
        <v>7.75</v>
      </c>
      <c r="J56" s="93">
        <v>9.5399999999999991</v>
      </c>
      <c r="K56" s="93">
        <v>11.67</v>
      </c>
      <c r="L56" s="93">
        <v>8</v>
      </c>
      <c r="M56" s="93">
        <v>1.42</v>
      </c>
      <c r="O56" s="93" t="s">
        <v>461</v>
      </c>
      <c r="P56" s="93">
        <v>-5.4</v>
      </c>
      <c r="Q56" s="93">
        <v>-5.18</v>
      </c>
      <c r="R56" s="93">
        <v>-5.87</v>
      </c>
      <c r="S56" s="93">
        <v>11.84</v>
      </c>
      <c r="T56" s="93">
        <v>15.85</v>
      </c>
    </row>
    <row r="57" spans="1:20">
      <c r="A57" s="38" t="s">
        <v>462</v>
      </c>
      <c r="B57" s="38">
        <v>100</v>
      </c>
      <c r="C57" s="38">
        <v>100</v>
      </c>
      <c r="D57" s="38">
        <v>100</v>
      </c>
      <c r="E57" s="38">
        <v>100</v>
      </c>
      <c r="F57" s="38">
        <v>100</v>
      </c>
      <c r="H57" s="38" t="s">
        <v>462</v>
      </c>
      <c r="I57" s="38">
        <v>100</v>
      </c>
      <c r="J57" s="38">
        <v>100</v>
      </c>
      <c r="K57" s="38">
        <v>100</v>
      </c>
      <c r="L57" s="38">
        <v>100</v>
      </c>
      <c r="M57" s="38">
        <v>100</v>
      </c>
      <c r="O57" s="38" t="s">
        <v>462</v>
      </c>
      <c r="P57" s="38"/>
      <c r="Q57" s="38"/>
      <c r="R57" s="38"/>
      <c r="S57" s="38">
        <v>100</v>
      </c>
      <c r="T57" s="38">
        <v>100</v>
      </c>
    </row>
    <row r="58" spans="1:20">
      <c r="A58" s="92" t="s">
        <v>463</v>
      </c>
      <c r="B58" s="92">
        <v>15.3</v>
      </c>
      <c r="C58" s="92">
        <v>10.65</v>
      </c>
      <c r="D58" s="92">
        <v>10.8</v>
      </c>
      <c r="E58" s="92">
        <v>5.2</v>
      </c>
      <c r="F58" s="92">
        <v>2.91</v>
      </c>
      <c r="H58" s="92" t="s">
        <v>463</v>
      </c>
      <c r="I58" s="92">
        <v>7.75</v>
      </c>
      <c r="J58" s="92">
        <v>9.5399999999999991</v>
      </c>
      <c r="K58" s="92">
        <v>11.67</v>
      </c>
      <c r="L58" s="92">
        <v>8</v>
      </c>
      <c r="M58" s="92">
        <v>1.42</v>
      </c>
      <c r="O58" s="92" t="s">
        <v>463</v>
      </c>
      <c r="P58" s="94">
        <v>-5.4</v>
      </c>
      <c r="Q58" s="94">
        <v>-5.18</v>
      </c>
      <c r="R58" s="94">
        <v>-5.87</v>
      </c>
      <c r="S58" s="92">
        <v>11.84</v>
      </c>
      <c r="T58" s="92">
        <v>15.85</v>
      </c>
    </row>
    <row r="59" spans="1:20">
      <c r="A59" s="38" t="s">
        <v>464</v>
      </c>
      <c r="B59" s="38">
        <v>9.4600000000000009</v>
      </c>
      <c r="C59" s="38">
        <v>8.7799999999999994</v>
      </c>
      <c r="D59" s="38">
        <v>8.4</v>
      </c>
      <c r="E59" s="38">
        <v>5.56</v>
      </c>
      <c r="F59" s="38">
        <v>3.84</v>
      </c>
      <c r="H59" s="38" t="s">
        <v>464</v>
      </c>
      <c r="I59" s="38">
        <v>4.99</v>
      </c>
      <c r="J59" s="38">
        <v>5.86</v>
      </c>
      <c r="K59" s="38">
        <v>6.43</v>
      </c>
      <c r="L59" s="38">
        <v>4.5199999999999996</v>
      </c>
      <c r="M59" s="38">
        <v>2.11</v>
      </c>
      <c r="O59" s="38" t="s">
        <v>464</v>
      </c>
      <c r="P59" s="38">
        <v>3.25</v>
      </c>
      <c r="Q59" s="38">
        <v>2.35</v>
      </c>
      <c r="R59" s="38">
        <v>0.82</v>
      </c>
      <c r="S59" s="38">
        <v>3.75</v>
      </c>
      <c r="T59" s="38">
        <v>5.07</v>
      </c>
    </row>
    <row r="60" spans="1:20">
      <c r="A60" s="92" t="s">
        <v>465</v>
      </c>
      <c r="B60" s="92">
        <v>2.13</v>
      </c>
      <c r="C60" s="92">
        <v>2.2799999999999998</v>
      </c>
      <c r="D60" s="92">
        <v>2.39</v>
      </c>
      <c r="E60" s="92">
        <v>2</v>
      </c>
      <c r="F60" s="92">
        <v>1.66</v>
      </c>
      <c r="H60" s="92" t="s">
        <v>465</v>
      </c>
      <c r="I60" s="92">
        <v>2.17</v>
      </c>
      <c r="J60" s="92">
        <v>1.63</v>
      </c>
      <c r="K60" s="92">
        <v>1.75</v>
      </c>
      <c r="L60" s="92">
        <v>1.61</v>
      </c>
      <c r="M60" s="92">
        <v>1.35</v>
      </c>
      <c r="O60" s="92" t="s">
        <v>465</v>
      </c>
      <c r="P60" s="92">
        <v>1.92</v>
      </c>
      <c r="Q60" s="92">
        <v>2.0499999999999998</v>
      </c>
      <c r="R60" s="92">
        <v>2.23</v>
      </c>
      <c r="S60" s="92">
        <v>1.62</v>
      </c>
      <c r="T60" s="92">
        <v>1.61</v>
      </c>
    </row>
    <row r="61" spans="1:20">
      <c r="A61" s="4" t="s">
        <v>422</v>
      </c>
      <c r="B61" s="4"/>
      <c r="C61" s="4"/>
      <c r="D61" s="4"/>
      <c r="E61" s="4"/>
      <c r="F61" s="4"/>
      <c r="H61" s="4" t="s">
        <v>422</v>
      </c>
      <c r="I61" s="4"/>
      <c r="J61" s="4"/>
      <c r="K61" s="4"/>
      <c r="L61" s="4"/>
      <c r="M61" s="4"/>
      <c r="O61" s="4" t="s">
        <v>422</v>
      </c>
      <c r="P61" s="4"/>
      <c r="Q61" s="4"/>
      <c r="R61" s="4"/>
      <c r="S61" s="4"/>
      <c r="T61" s="4"/>
    </row>
    <row r="62" spans="1:20">
      <c r="A62" s="92" t="s">
        <v>466</v>
      </c>
      <c r="B62" s="95">
        <v>1314133</v>
      </c>
      <c r="C62" s="95">
        <v>1262567</v>
      </c>
      <c r="D62" s="95">
        <v>1186567</v>
      </c>
      <c r="E62" s="95">
        <v>1174379</v>
      </c>
      <c r="F62" s="95">
        <v>1053107</v>
      </c>
      <c r="H62" s="92" t="s">
        <v>466</v>
      </c>
      <c r="I62" s="95">
        <v>1529437</v>
      </c>
      <c r="J62" s="95">
        <v>1502515</v>
      </c>
      <c r="K62" s="95">
        <v>1607522</v>
      </c>
      <c r="L62" s="95">
        <v>1608206</v>
      </c>
      <c r="M62" s="95">
        <v>1370069</v>
      </c>
      <c r="O62" s="92" t="s">
        <v>466</v>
      </c>
      <c r="P62" s="95">
        <v>1234857</v>
      </c>
      <c r="Q62" s="95">
        <v>1160331</v>
      </c>
      <c r="R62" s="95">
        <v>1044059</v>
      </c>
      <c r="S62" s="95">
        <v>992712</v>
      </c>
      <c r="T62" s="95">
        <v>947473</v>
      </c>
    </row>
    <row r="63" spans="1:20">
      <c r="A63" s="38" t="s">
        <v>467</v>
      </c>
      <c r="B63" s="96">
        <v>22533</v>
      </c>
      <c r="C63" s="96">
        <v>16467</v>
      </c>
      <c r="D63" s="96">
        <v>16867</v>
      </c>
      <c r="E63" s="96">
        <v>9138</v>
      </c>
      <c r="F63" s="96">
        <v>5857</v>
      </c>
      <c r="H63" s="38" t="s">
        <v>467</v>
      </c>
      <c r="I63" s="96">
        <v>8026</v>
      </c>
      <c r="J63" s="96">
        <v>9683</v>
      </c>
      <c r="K63" s="96">
        <v>11928</v>
      </c>
      <c r="L63" s="96">
        <v>7606</v>
      </c>
      <c r="M63" s="96">
        <v>1272</v>
      </c>
      <c r="O63" s="38" t="s">
        <v>467</v>
      </c>
      <c r="P63" s="100">
        <v>-3346</v>
      </c>
      <c r="Q63" s="100">
        <v>-3162</v>
      </c>
      <c r="R63" s="100">
        <v>-3576</v>
      </c>
      <c r="S63" s="96">
        <v>6901</v>
      </c>
      <c r="T63" s="96">
        <v>7771</v>
      </c>
    </row>
    <row r="64" spans="1:20">
      <c r="A64" s="92" t="s">
        <v>468</v>
      </c>
      <c r="B64" s="95">
        <v>477067</v>
      </c>
      <c r="C64" s="95">
        <v>459800</v>
      </c>
      <c r="D64" s="95">
        <v>451833</v>
      </c>
      <c r="E64" s="95">
        <v>440448</v>
      </c>
      <c r="F64" s="95">
        <v>447179</v>
      </c>
      <c r="H64" s="92" t="s">
        <v>468</v>
      </c>
      <c r="I64" s="95">
        <v>428691</v>
      </c>
      <c r="J64" s="95">
        <v>432775</v>
      </c>
      <c r="K64" s="95">
        <v>364036</v>
      </c>
      <c r="L64" s="95">
        <v>354514</v>
      </c>
      <c r="M64" s="95">
        <v>421390</v>
      </c>
      <c r="O64" s="92" t="s">
        <v>468</v>
      </c>
      <c r="P64" s="95">
        <v>287122</v>
      </c>
      <c r="Q64" s="95">
        <v>287169</v>
      </c>
      <c r="R64" s="95">
        <v>266667</v>
      </c>
      <c r="S64" s="95">
        <v>261220</v>
      </c>
      <c r="T64" s="95">
        <v>270034</v>
      </c>
    </row>
    <row r="65" spans="1:20">
      <c r="A65" s="216" t="s">
        <v>469</v>
      </c>
      <c r="B65" s="38">
        <v>17.8</v>
      </c>
      <c r="C65" s="38">
        <v>17.989999999999998</v>
      </c>
      <c r="D65" s="38">
        <v>18.149999999999999</v>
      </c>
      <c r="E65" s="38">
        <v>19.36</v>
      </c>
      <c r="F65" s="38">
        <v>20.53</v>
      </c>
      <c r="H65" s="38" t="s">
        <v>469</v>
      </c>
      <c r="I65" s="38">
        <v>23.96</v>
      </c>
      <c r="J65" s="38">
        <v>23.79</v>
      </c>
      <c r="K65" s="38">
        <v>25.14</v>
      </c>
      <c r="L65" s="38">
        <v>25.9</v>
      </c>
      <c r="M65" s="38">
        <v>23.77</v>
      </c>
      <c r="O65" s="38" t="s">
        <v>469</v>
      </c>
      <c r="P65" s="38">
        <v>30.65</v>
      </c>
      <c r="Q65" s="38">
        <v>15.57</v>
      </c>
      <c r="R65" s="38">
        <v>14.71</v>
      </c>
      <c r="S65" s="38">
        <v>25.12</v>
      </c>
      <c r="T65" s="38">
        <v>22.81</v>
      </c>
    </row>
    <row r="66" spans="1:20">
      <c r="A66" s="216" t="s">
        <v>470</v>
      </c>
      <c r="B66" s="92">
        <v>19.510000000000002</v>
      </c>
      <c r="C66" s="92">
        <v>19.43</v>
      </c>
      <c r="D66" s="92">
        <v>18.309999999999999</v>
      </c>
      <c r="E66" s="92">
        <v>17.3</v>
      </c>
      <c r="F66" s="92">
        <v>16.78</v>
      </c>
      <c r="H66" s="92" t="s">
        <v>470</v>
      </c>
      <c r="I66" s="92">
        <v>14.36</v>
      </c>
      <c r="J66" s="92">
        <v>14.8</v>
      </c>
      <c r="K66" s="92">
        <v>15.54</v>
      </c>
      <c r="L66" s="92">
        <v>15.57</v>
      </c>
      <c r="M66" s="92">
        <v>15.34</v>
      </c>
      <c r="O66" s="92" t="s">
        <v>470</v>
      </c>
      <c r="P66" s="92">
        <v>12.7</v>
      </c>
      <c r="Q66" s="92">
        <v>11.74</v>
      </c>
      <c r="R66" s="92">
        <v>10.58</v>
      </c>
      <c r="S66" s="92">
        <v>10.199999999999999</v>
      </c>
      <c r="T66" s="92">
        <v>10</v>
      </c>
    </row>
    <row r="67" spans="1:20">
      <c r="A67" s="216" t="s">
        <v>471</v>
      </c>
      <c r="B67" s="38">
        <v>13.96</v>
      </c>
      <c r="C67" s="38">
        <v>14.65</v>
      </c>
      <c r="D67" s="38">
        <v>15.07</v>
      </c>
      <c r="E67" s="38">
        <v>16.2</v>
      </c>
      <c r="F67" s="38">
        <v>17.53</v>
      </c>
      <c r="H67" s="38" t="s">
        <v>471</v>
      </c>
      <c r="I67" s="38">
        <v>18.940000000000001</v>
      </c>
      <c r="J67" s="38">
        <v>20.38</v>
      </c>
      <c r="K67" s="38">
        <v>21.46</v>
      </c>
      <c r="L67" s="38">
        <v>20.98</v>
      </c>
      <c r="M67" s="38">
        <v>19.86</v>
      </c>
      <c r="O67" s="38" t="s">
        <v>471</v>
      </c>
      <c r="P67" s="38">
        <v>15.05</v>
      </c>
      <c r="Q67" s="38">
        <v>15.25</v>
      </c>
      <c r="R67" s="38">
        <v>14.52</v>
      </c>
      <c r="S67" s="38">
        <v>14.29</v>
      </c>
      <c r="T67" s="38">
        <v>13.92</v>
      </c>
    </row>
    <row r="68" spans="1:20">
      <c r="A68" s="92" t="s">
        <v>472</v>
      </c>
      <c r="B68" s="92">
        <v>2.81</v>
      </c>
      <c r="C68" s="92">
        <v>2.77</v>
      </c>
      <c r="D68" s="92">
        <v>2.7</v>
      </c>
      <c r="E68" s="92">
        <v>2.69</v>
      </c>
      <c r="F68" s="92">
        <v>2.36</v>
      </c>
      <c r="H68" s="92" t="s">
        <v>472</v>
      </c>
      <c r="I68" s="92">
        <v>3.68</v>
      </c>
      <c r="J68" s="92">
        <v>3.95</v>
      </c>
      <c r="K68" s="92">
        <v>4.54</v>
      </c>
      <c r="L68" s="92">
        <v>4.57</v>
      </c>
      <c r="M68" s="92">
        <v>3.99</v>
      </c>
      <c r="O68" s="92" t="s">
        <v>472</v>
      </c>
      <c r="P68" s="92">
        <v>4.17</v>
      </c>
      <c r="Q68" s="92">
        <v>4.0599999999999996</v>
      </c>
      <c r="R68" s="92">
        <v>3.89</v>
      </c>
      <c r="S68" s="92">
        <v>3.79</v>
      </c>
      <c r="T68" s="92">
        <v>3.57</v>
      </c>
    </row>
    <row r="69" spans="1:20">
      <c r="A69" s="216" t="s">
        <v>473</v>
      </c>
      <c r="B69" s="38">
        <v>68.8</v>
      </c>
      <c r="C69" s="38">
        <v>55.87</v>
      </c>
      <c r="D69" s="38">
        <v>38.729999999999997</v>
      </c>
      <c r="E69" s="38">
        <v>33.26</v>
      </c>
      <c r="F69" s="38">
        <v>28.24</v>
      </c>
      <c r="H69" s="38" t="s">
        <v>473</v>
      </c>
      <c r="I69" s="38">
        <v>23.87</v>
      </c>
      <c r="J69" s="38">
        <v>21.79</v>
      </c>
      <c r="K69" s="38">
        <v>23.44</v>
      </c>
      <c r="L69" s="38">
        <v>23.34</v>
      </c>
      <c r="M69" s="38">
        <v>18.760000000000002</v>
      </c>
      <c r="O69" s="38" t="s">
        <v>473</v>
      </c>
      <c r="P69" s="38">
        <v>36.659999999999997</v>
      </c>
      <c r="Q69" s="38">
        <v>27.95</v>
      </c>
      <c r="R69" s="38">
        <v>23.46</v>
      </c>
      <c r="S69" s="38">
        <v>19.89</v>
      </c>
      <c r="T69" s="38">
        <v>20.99</v>
      </c>
    </row>
    <row r="70" spans="1:20">
      <c r="A70" s="93" t="s">
        <v>474</v>
      </c>
      <c r="B70" s="93" t="s">
        <v>390</v>
      </c>
      <c r="C70" s="93" t="s">
        <v>390</v>
      </c>
      <c r="D70" s="93" t="s">
        <v>390</v>
      </c>
      <c r="E70" s="93" t="s">
        <v>390</v>
      </c>
      <c r="F70" s="93" t="s">
        <v>390</v>
      </c>
      <c r="H70" s="93" t="s">
        <v>474</v>
      </c>
      <c r="I70" s="93" t="s">
        <v>390</v>
      </c>
      <c r="J70" s="93" t="s">
        <v>390</v>
      </c>
      <c r="K70" s="93" t="s">
        <v>390</v>
      </c>
      <c r="L70" s="93" t="s">
        <v>390</v>
      </c>
      <c r="M70" s="93" t="s">
        <v>390</v>
      </c>
      <c r="O70" s="93" t="s">
        <v>474</v>
      </c>
      <c r="P70" s="93" t="s">
        <v>390</v>
      </c>
      <c r="Q70" s="93" t="s">
        <v>390</v>
      </c>
      <c r="R70" s="93" t="s">
        <v>390</v>
      </c>
      <c r="S70" s="93" t="s">
        <v>390</v>
      </c>
      <c r="T70" s="93" t="s">
        <v>390</v>
      </c>
    </row>
    <row r="71" spans="1:20">
      <c r="A71" s="4" t="s">
        <v>475</v>
      </c>
      <c r="B71" s="4">
        <v>18.7</v>
      </c>
      <c r="C71" s="4">
        <v>18.78</v>
      </c>
      <c r="D71" s="4">
        <v>19.93</v>
      </c>
      <c r="E71" s="4">
        <v>21.1</v>
      </c>
      <c r="F71" s="4">
        <v>21.75</v>
      </c>
      <c r="H71" s="4" t="s">
        <v>475</v>
      </c>
      <c r="I71" s="4">
        <v>25.42</v>
      </c>
      <c r="J71" s="4">
        <v>24.66</v>
      </c>
      <c r="K71" s="4">
        <v>23.49</v>
      </c>
      <c r="L71" s="4">
        <v>23.45</v>
      </c>
      <c r="M71" s="4">
        <v>23.8</v>
      </c>
      <c r="O71" s="4" t="s">
        <v>475</v>
      </c>
      <c r="P71" s="4">
        <v>28.74</v>
      </c>
      <c r="Q71" s="4">
        <v>31.09</v>
      </c>
      <c r="R71" s="4">
        <v>34.51</v>
      </c>
      <c r="S71" s="4">
        <v>35.770000000000003</v>
      </c>
      <c r="T71" s="4">
        <v>36.5</v>
      </c>
    </row>
    <row r="72" spans="1:20">
      <c r="A72" s="92" t="s">
        <v>476</v>
      </c>
      <c r="B72" s="92">
        <v>20.5</v>
      </c>
      <c r="C72" s="92">
        <v>20.29</v>
      </c>
      <c r="D72" s="92">
        <v>20.11</v>
      </c>
      <c r="E72" s="92">
        <v>18.850000000000001</v>
      </c>
      <c r="F72" s="92">
        <v>17.78</v>
      </c>
      <c r="H72" s="92" t="s">
        <v>476</v>
      </c>
      <c r="I72" s="92">
        <v>15.24</v>
      </c>
      <c r="J72" s="92">
        <v>15.34</v>
      </c>
      <c r="K72" s="92">
        <v>14.52</v>
      </c>
      <c r="L72" s="92">
        <v>14.09</v>
      </c>
      <c r="M72" s="92">
        <v>15.35</v>
      </c>
      <c r="O72" s="92" t="s">
        <v>476</v>
      </c>
      <c r="P72" s="92">
        <v>11.91</v>
      </c>
      <c r="Q72" s="92">
        <v>23.45</v>
      </c>
      <c r="R72" s="92">
        <v>24.82</v>
      </c>
      <c r="S72" s="92">
        <v>14.53</v>
      </c>
      <c r="T72" s="92">
        <v>16</v>
      </c>
    </row>
    <row r="73" spans="1:20">
      <c r="A73" s="4" t="s">
        <v>477</v>
      </c>
      <c r="B73" s="4">
        <v>39.21</v>
      </c>
      <c r="C73" s="4">
        <v>39.08</v>
      </c>
      <c r="D73" s="4">
        <v>40.04</v>
      </c>
      <c r="E73" s="4">
        <v>39.950000000000003</v>
      </c>
      <c r="F73" s="4">
        <v>39.53</v>
      </c>
      <c r="H73" s="4" t="s">
        <v>477</v>
      </c>
      <c r="I73" s="4">
        <v>40.659999999999997</v>
      </c>
      <c r="J73" s="4">
        <v>40</v>
      </c>
      <c r="K73" s="4">
        <v>38</v>
      </c>
      <c r="L73" s="4">
        <v>37.54</v>
      </c>
      <c r="M73" s="4">
        <v>39.15</v>
      </c>
      <c r="O73" s="4" t="s">
        <v>477</v>
      </c>
      <c r="P73" s="4">
        <v>40.64</v>
      </c>
      <c r="Q73" s="4">
        <v>54.54</v>
      </c>
      <c r="R73" s="4">
        <v>59.32</v>
      </c>
      <c r="S73" s="4">
        <v>50.3</v>
      </c>
      <c r="T73" s="4">
        <v>52.5</v>
      </c>
    </row>
    <row r="74" spans="1:20">
      <c r="A74" s="92" t="s">
        <v>478</v>
      </c>
      <c r="B74" s="92">
        <v>26.15</v>
      </c>
      <c r="C74" s="92">
        <v>24.91</v>
      </c>
      <c r="D74" s="92">
        <v>24.22</v>
      </c>
      <c r="E74" s="92">
        <v>22.53</v>
      </c>
      <c r="F74" s="92">
        <v>20.82</v>
      </c>
      <c r="H74" s="92" t="s">
        <v>478</v>
      </c>
      <c r="I74" s="92">
        <v>19.27</v>
      </c>
      <c r="J74" s="92">
        <v>17.91</v>
      </c>
      <c r="K74" s="92">
        <v>17.010000000000002</v>
      </c>
      <c r="L74" s="92">
        <v>17.399999999999999</v>
      </c>
      <c r="M74" s="92">
        <v>18.38</v>
      </c>
      <c r="O74" s="92" t="s">
        <v>478</v>
      </c>
      <c r="P74" s="92">
        <v>24.25</v>
      </c>
      <c r="Q74" s="92">
        <v>23.93</v>
      </c>
      <c r="R74" s="92">
        <v>25.14</v>
      </c>
      <c r="S74" s="92">
        <v>25.55</v>
      </c>
      <c r="T74" s="92">
        <v>26.22</v>
      </c>
    </row>
    <row r="75" spans="1:20">
      <c r="A75" s="216" t="s">
        <v>479</v>
      </c>
      <c r="B75" s="38">
        <v>13.05</v>
      </c>
      <c r="C75" s="38">
        <v>14.17</v>
      </c>
      <c r="D75" s="38">
        <v>15.82</v>
      </c>
      <c r="E75" s="38">
        <v>17.420000000000002</v>
      </c>
      <c r="F75" s="38">
        <v>18.71</v>
      </c>
      <c r="H75" s="38" t="s">
        <v>479</v>
      </c>
      <c r="I75" s="38">
        <v>21.39</v>
      </c>
      <c r="J75" s="38">
        <v>22.09</v>
      </c>
      <c r="K75" s="38">
        <v>21</v>
      </c>
      <c r="L75" s="38">
        <v>20.14</v>
      </c>
      <c r="M75" s="38">
        <v>20.77</v>
      </c>
      <c r="O75" s="38" t="s">
        <v>479</v>
      </c>
      <c r="P75" s="38">
        <v>16.399999999999999</v>
      </c>
      <c r="Q75" s="38">
        <v>30.6</v>
      </c>
      <c r="R75" s="38">
        <v>34.18</v>
      </c>
      <c r="S75" s="38">
        <v>24.75</v>
      </c>
      <c r="T75" s="38">
        <v>26.28</v>
      </c>
    </row>
    <row r="76" spans="1:20">
      <c r="A76" s="93" t="s">
        <v>480</v>
      </c>
      <c r="B76" s="93" t="s">
        <v>390</v>
      </c>
      <c r="C76" s="93" t="s">
        <v>390</v>
      </c>
      <c r="D76" s="93" t="s">
        <v>390</v>
      </c>
      <c r="E76" s="93" t="s">
        <v>390</v>
      </c>
      <c r="F76" s="93" t="s">
        <v>390</v>
      </c>
      <c r="H76" s="93" t="s">
        <v>480</v>
      </c>
      <c r="I76" s="93" t="s">
        <v>390</v>
      </c>
      <c r="J76" s="93" t="s">
        <v>390</v>
      </c>
      <c r="K76" s="93" t="s">
        <v>390</v>
      </c>
      <c r="L76" s="93" t="s">
        <v>390</v>
      </c>
      <c r="M76" s="93" t="s">
        <v>390</v>
      </c>
      <c r="O76" s="93" t="s">
        <v>480</v>
      </c>
      <c r="P76" s="93" t="s">
        <v>390</v>
      </c>
      <c r="Q76" s="93" t="s">
        <v>390</v>
      </c>
      <c r="R76" s="93" t="s">
        <v>390</v>
      </c>
      <c r="S76" s="93" t="s">
        <v>390</v>
      </c>
      <c r="T76" s="93" t="s">
        <v>390</v>
      </c>
    </row>
    <row r="77" spans="1:20">
      <c r="A77" s="38" t="s">
        <v>481</v>
      </c>
      <c r="B77" s="38">
        <v>1.1599999999999999</v>
      </c>
      <c r="C77" s="38">
        <v>1.21</v>
      </c>
      <c r="D77" s="38">
        <v>1.3</v>
      </c>
      <c r="E77" s="38">
        <v>1.37</v>
      </c>
      <c r="F77" s="38">
        <v>1.41</v>
      </c>
      <c r="H77" s="38" t="s">
        <v>481</v>
      </c>
      <c r="I77" s="38">
        <v>1.6</v>
      </c>
      <c r="J77" s="38">
        <v>1.67</v>
      </c>
      <c r="K77" s="38">
        <v>1.71</v>
      </c>
      <c r="L77" s="38">
        <v>1.71</v>
      </c>
      <c r="M77" s="38">
        <v>1.62</v>
      </c>
      <c r="O77" s="38" t="s">
        <v>481</v>
      </c>
      <c r="P77" s="38">
        <v>1.35</v>
      </c>
      <c r="Q77" s="38">
        <v>1.46</v>
      </c>
      <c r="R77" s="38">
        <v>1.53</v>
      </c>
      <c r="S77" s="38">
        <v>1.61</v>
      </c>
      <c r="T77" s="38">
        <v>1.51</v>
      </c>
    </row>
    <row r="78" spans="1:20">
      <c r="A78" s="92" t="s">
        <v>482</v>
      </c>
      <c r="B78" s="92">
        <v>0.68</v>
      </c>
      <c r="C78" s="92">
        <v>0.71</v>
      </c>
      <c r="D78" s="92">
        <v>0.78</v>
      </c>
      <c r="E78" s="92">
        <v>0.79</v>
      </c>
      <c r="F78" s="92">
        <v>0.75</v>
      </c>
      <c r="H78" s="92" t="s">
        <v>482</v>
      </c>
      <c r="I78" s="92">
        <v>0.68</v>
      </c>
      <c r="J78" s="92">
        <v>0.72</v>
      </c>
      <c r="K78" s="92">
        <v>0.75</v>
      </c>
      <c r="L78" s="92">
        <v>0.73</v>
      </c>
      <c r="M78" s="92">
        <v>0.68</v>
      </c>
      <c r="O78" s="92" t="s">
        <v>482</v>
      </c>
      <c r="P78" s="92">
        <v>0.51</v>
      </c>
      <c r="Q78" s="92">
        <v>0.53</v>
      </c>
      <c r="R78" s="92">
        <v>0.53</v>
      </c>
      <c r="S78" s="92">
        <v>0.55000000000000004</v>
      </c>
      <c r="T78" s="92">
        <v>0.56000000000000005</v>
      </c>
    </row>
    <row r="79" spans="1:20">
      <c r="A79" s="38" t="s">
        <v>483</v>
      </c>
      <c r="B79" s="38">
        <v>0.01</v>
      </c>
      <c r="C79" s="38">
        <v>0.02</v>
      </c>
      <c r="D79" s="38">
        <v>0.09</v>
      </c>
      <c r="E79" s="38">
        <v>0.08</v>
      </c>
      <c r="F79" s="38">
        <v>0.06</v>
      </c>
      <c r="H79" s="38" t="s">
        <v>483</v>
      </c>
      <c r="I79" s="38">
        <v>0.01</v>
      </c>
      <c r="J79" s="38">
        <v>0</v>
      </c>
      <c r="K79" s="38">
        <v>0</v>
      </c>
      <c r="L79" s="38">
        <v>0</v>
      </c>
      <c r="M79" s="38">
        <v>0</v>
      </c>
      <c r="O79" s="38" t="s">
        <v>483</v>
      </c>
      <c r="P79" s="38">
        <v>0.02</v>
      </c>
      <c r="Q79" s="38">
        <v>0.02</v>
      </c>
      <c r="R79" s="38">
        <v>0.01</v>
      </c>
      <c r="S79" s="38">
        <v>0.02</v>
      </c>
      <c r="T79" s="38">
        <v>0.02</v>
      </c>
    </row>
    <row r="80" spans="1:20">
      <c r="A80" s="92" t="s">
        <v>484</v>
      </c>
      <c r="B80" s="92">
        <v>0.98</v>
      </c>
      <c r="C80" s="92">
        <v>1.48</v>
      </c>
      <c r="D80" s="92">
        <v>6.67</v>
      </c>
      <c r="E80" s="92">
        <v>5.52</v>
      </c>
      <c r="F80" s="92">
        <v>4.12</v>
      </c>
      <c r="H80" s="92" t="s">
        <v>484</v>
      </c>
      <c r="I80" s="92">
        <v>0.56000000000000005</v>
      </c>
      <c r="J80" s="92">
        <v>0.16</v>
      </c>
      <c r="K80" s="92">
        <v>0.28000000000000003</v>
      </c>
      <c r="L80" s="92">
        <v>0.11</v>
      </c>
      <c r="M80" s="92">
        <v>0.17</v>
      </c>
      <c r="O80" s="92" t="s">
        <v>484</v>
      </c>
      <c r="P80" s="92">
        <v>1.42</v>
      </c>
      <c r="Q80" s="92">
        <v>1.17</v>
      </c>
      <c r="R80" s="92">
        <v>0.94</v>
      </c>
      <c r="S80" s="92">
        <v>1</v>
      </c>
      <c r="T80" s="92">
        <v>1.1599999999999999</v>
      </c>
    </row>
    <row r="81" spans="1:20">
      <c r="A81" s="38" t="s">
        <v>485</v>
      </c>
      <c r="B81" s="38">
        <v>38.119999999999997</v>
      </c>
      <c r="C81" s="38">
        <v>35.619999999999997</v>
      </c>
      <c r="D81" s="38">
        <v>36.630000000000003</v>
      </c>
      <c r="E81" s="38">
        <v>27.36</v>
      </c>
      <c r="F81" s="38">
        <v>16.43</v>
      </c>
      <c r="H81" s="38" t="s">
        <v>485</v>
      </c>
      <c r="I81" s="38">
        <v>27.89</v>
      </c>
      <c r="J81" s="38">
        <v>23.94</v>
      </c>
      <c r="K81" s="38">
        <v>27.57</v>
      </c>
      <c r="L81" s="38">
        <v>16.11</v>
      </c>
      <c r="M81" s="38">
        <v>7.15</v>
      </c>
      <c r="O81" s="38" t="s">
        <v>485</v>
      </c>
      <c r="P81" s="38">
        <v>22.96</v>
      </c>
      <c r="Q81" s="38">
        <v>18</v>
      </c>
      <c r="R81" s="38">
        <v>16.53</v>
      </c>
      <c r="S81" s="38">
        <v>17.21</v>
      </c>
      <c r="T81" s="38">
        <v>19.11</v>
      </c>
    </row>
    <row r="82" spans="1:20">
      <c r="A82" s="93" t="s">
        <v>486</v>
      </c>
      <c r="B82" s="93" t="s">
        <v>390</v>
      </c>
      <c r="C82" s="93" t="s">
        <v>390</v>
      </c>
      <c r="D82" s="93" t="s">
        <v>390</v>
      </c>
      <c r="E82" s="93" t="s">
        <v>390</v>
      </c>
      <c r="F82" s="93" t="s">
        <v>390</v>
      </c>
      <c r="H82" s="93" t="s">
        <v>486</v>
      </c>
      <c r="I82" s="93" t="s">
        <v>390</v>
      </c>
      <c r="J82" s="93" t="s">
        <v>390</v>
      </c>
      <c r="K82" s="93" t="s">
        <v>390</v>
      </c>
      <c r="L82" s="93" t="s">
        <v>390</v>
      </c>
      <c r="M82" s="93" t="s">
        <v>390</v>
      </c>
      <c r="O82" s="93" t="s">
        <v>486</v>
      </c>
      <c r="P82" s="93" t="s">
        <v>390</v>
      </c>
      <c r="Q82" s="93" t="s">
        <v>390</v>
      </c>
      <c r="R82" s="93" t="s">
        <v>390</v>
      </c>
      <c r="S82" s="93" t="s">
        <v>390</v>
      </c>
      <c r="T82" s="93" t="s">
        <v>390</v>
      </c>
    </row>
    <row r="83" spans="1:20">
      <c r="A83" s="38" t="s">
        <v>487</v>
      </c>
      <c r="B83" s="38">
        <v>2.97</v>
      </c>
      <c r="C83" s="38">
        <v>3.1</v>
      </c>
      <c r="D83" s="38">
        <v>3.08</v>
      </c>
      <c r="E83" s="38">
        <v>4.4800000000000004</v>
      </c>
      <c r="F83" s="38">
        <v>5.89</v>
      </c>
      <c r="H83" s="38" t="s">
        <v>487</v>
      </c>
      <c r="I83" s="38">
        <v>4.1500000000000004</v>
      </c>
      <c r="J83" s="38">
        <v>4.53</v>
      </c>
      <c r="K83" s="38">
        <v>3.08</v>
      </c>
      <c r="L83" s="38">
        <v>3.95</v>
      </c>
      <c r="M83" s="38">
        <v>7.18</v>
      </c>
      <c r="O83" s="38" t="s">
        <v>487</v>
      </c>
      <c r="P83" s="38">
        <v>3.13</v>
      </c>
      <c r="Q83" s="38">
        <v>4.1500000000000004</v>
      </c>
      <c r="R83" s="38">
        <v>5.91</v>
      </c>
      <c r="S83" s="38">
        <v>3.76</v>
      </c>
      <c r="T83" s="38">
        <v>3.64</v>
      </c>
    </row>
    <row r="84" spans="1:20">
      <c r="A84" s="92" t="s">
        <v>438</v>
      </c>
      <c r="B84" s="92">
        <v>4.1100000000000003</v>
      </c>
      <c r="C84" s="92">
        <v>4.1399999999999997</v>
      </c>
      <c r="D84" s="92">
        <v>4.1399999999999997</v>
      </c>
      <c r="E84" s="92">
        <v>6.3</v>
      </c>
      <c r="F84" s="92">
        <v>9.14</v>
      </c>
      <c r="H84" s="92" t="s">
        <v>438</v>
      </c>
      <c r="I84" s="92">
        <v>6.76</v>
      </c>
      <c r="J84" s="92">
        <v>7.42</v>
      </c>
      <c r="K84" s="92">
        <v>4.8899999999999997</v>
      </c>
      <c r="L84" s="92">
        <v>6.01</v>
      </c>
      <c r="M84" s="92">
        <v>11.68</v>
      </c>
      <c r="O84" s="92" t="s">
        <v>438</v>
      </c>
      <c r="P84" s="92">
        <v>8.81</v>
      </c>
      <c r="Q84" s="92">
        <v>18.899999999999999</v>
      </c>
      <c r="R84" s="92">
        <v>66.959999999999994</v>
      </c>
      <c r="S84" s="92">
        <v>11.47</v>
      </c>
      <c r="T84" s="92">
        <v>10.34</v>
      </c>
    </row>
    <row r="85" spans="1:20">
      <c r="A85" s="38" t="s">
        <v>488</v>
      </c>
      <c r="B85" s="38">
        <v>3</v>
      </c>
      <c r="C85" s="38">
        <v>3.14</v>
      </c>
      <c r="D85" s="38">
        <v>3.26</v>
      </c>
      <c r="E85" s="38">
        <v>4.68</v>
      </c>
      <c r="F85" s="38">
        <v>6.06</v>
      </c>
      <c r="H85" s="38" t="s">
        <v>488</v>
      </c>
      <c r="I85" s="38">
        <v>4.18</v>
      </c>
      <c r="J85" s="38">
        <v>4.54</v>
      </c>
      <c r="K85" s="38">
        <v>3.09</v>
      </c>
      <c r="L85" s="38">
        <v>3.95</v>
      </c>
      <c r="M85" s="38">
        <v>7.2</v>
      </c>
      <c r="O85" s="38" t="s">
        <v>488</v>
      </c>
      <c r="P85" s="38">
        <v>3.22</v>
      </c>
      <c r="Q85" s="38">
        <v>4.2300000000000004</v>
      </c>
      <c r="R85" s="38">
        <v>6</v>
      </c>
      <c r="S85" s="38">
        <v>3.83</v>
      </c>
      <c r="T85" s="38">
        <v>3.71</v>
      </c>
    </row>
    <row r="86" spans="1:20">
      <c r="A86" s="92" t="s">
        <v>489</v>
      </c>
      <c r="B86" s="92">
        <v>4.3600000000000003</v>
      </c>
      <c r="C86" s="92">
        <v>3.81</v>
      </c>
      <c r="D86" s="92">
        <v>3.41</v>
      </c>
      <c r="E86" s="92">
        <v>2.76</v>
      </c>
      <c r="F86" s="92">
        <v>2.2999999999999998</v>
      </c>
      <c r="H86" s="92" t="s">
        <v>489</v>
      </c>
      <c r="I86" s="92">
        <v>2.23</v>
      </c>
      <c r="J86" s="92">
        <v>3.16</v>
      </c>
      <c r="K86" s="92">
        <v>3.58</v>
      </c>
      <c r="L86" s="92">
        <v>2.79</v>
      </c>
      <c r="M86" s="92">
        <v>1.28</v>
      </c>
      <c r="O86" s="92" t="s">
        <v>489</v>
      </c>
      <c r="P86" s="92">
        <v>1.74</v>
      </c>
      <c r="Q86" s="92">
        <v>1.1399999999999999</v>
      </c>
      <c r="R86" s="92">
        <v>0.37</v>
      </c>
      <c r="S86" s="92">
        <v>2.31</v>
      </c>
      <c r="T86" s="92">
        <v>3.09</v>
      </c>
    </row>
    <row r="87" spans="1:20">
      <c r="A87" s="38" t="s">
        <v>490</v>
      </c>
      <c r="B87" s="38">
        <v>5.88</v>
      </c>
      <c r="C87" s="38">
        <v>5.2</v>
      </c>
      <c r="D87" s="38">
        <v>4.63</v>
      </c>
      <c r="E87" s="38">
        <v>4.22</v>
      </c>
      <c r="F87" s="38">
        <v>4.12</v>
      </c>
      <c r="H87" s="38" t="s">
        <v>490</v>
      </c>
      <c r="I87" s="38">
        <v>4.17</v>
      </c>
      <c r="J87" s="38">
        <v>5.36</v>
      </c>
      <c r="K87" s="38">
        <v>5.87</v>
      </c>
      <c r="L87" s="38">
        <v>5.25</v>
      </c>
      <c r="M87" s="38">
        <v>3.63</v>
      </c>
      <c r="O87" s="38" t="s">
        <v>490</v>
      </c>
      <c r="P87" s="38">
        <v>3.96</v>
      </c>
      <c r="Q87" s="38">
        <v>3.18</v>
      </c>
      <c r="R87" s="38">
        <v>2.16</v>
      </c>
      <c r="S87" s="38">
        <v>4.62</v>
      </c>
      <c r="T87" s="38">
        <v>5.29</v>
      </c>
    </row>
    <row r="88" spans="1:20">
      <c r="A88" s="92" t="s">
        <v>491</v>
      </c>
      <c r="B88" s="92">
        <v>4.3600000000000003</v>
      </c>
      <c r="C88" s="92">
        <v>3.81</v>
      </c>
      <c r="D88" s="92">
        <v>3.32</v>
      </c>
      <c r="E88" s="92">
        <v>2.2999999999999998</v>
      </c>
      <c r="F88" s="92">
        <v>1.81</v>
      </c>
      <c r="H88" s="92" t="s">
        <v>491</v>
      </c>
      <c r="I88" s="92">
        <v>2.23</v>
      </c>
      <c r="J88" s="92">
        <v>3.16</v>
      </c>
      <c r="K88" s="92">
        <v>3.58</v>
      </c>
      <c r="L88" s="92">
        <v>2.79</v>
      </c>
      <c r="M88" s="92">
        <v>1.28</v>
      </c>
      <c r="O88" s="92" t="s">
        <v>491</v>
      </c>
      <c r="P88" s="92">
        <v>1.74</v>
      </c>
      <c r="Q88" s="92">
        <v>1.1399999999999999</v>
      </c>
      <c r="R88" s="92">
        <v>0.37</v>
      </c>
      <c r="S88" s="92">
        <v>2.31</v>
      </c>
      <c r="T88" s="92">
        <v>3.09</v>
      </c>
    </row>
    <row r="89" spans="1:20">
      <c r="A89" s="38" t="s">
        <v>492</v>
      </c>
      <c r="B89" s="38">
        <v>4.49</v>
      </c>
      <c r="C89" s="38">
        <v>3.73</v>
      </c>
      <c r="D89" s="38">
        <v>3.52</v>
      </c>
      <c r="E89" s="38">
        <v>3</v>
      </c>
      <c r="F89" s="38">
        <v>2.0099999999999998</v>
      </c>
      <c r="H89" s="38" t="s">
        <v>492</v>
      </c>
      <c r="I89" s="38">
        <v>3.22</v>
      </c>
      <c r="J89" s="38">
        <v>3.51</v>
      </c>
      <c r="K89" s="38">
        <v>4.1900000000000004</v>
      </c>
      <c r="L89" s="38">
        <v>2.74</v>
      </c>
      <c r="M89" s="38">
        <v>1.47</v>
      </c>
      <c r="O89" s="38" t="s">
        <v>492</v>
      </c>
      <c r="P89" s="38">
        <v>4.01</v>
      </c>
      <c r="Q89" s="38">
        <v>2.74</v>
      </c>
      <c r="R89" s="38">
        <v>2.3199999999999998</v>
      </c>
      <c r="S89" s="38">
        <v>3.32</v>
      </c>
      <c r="T89" s="38">
        <v>3.92</v>
      </c>
    </row>
    <row r="90" spans="1:20">
      <c r="A90" s="92" t="s">
        <v>494</v>
      </c>
      <c r="B90" s="92">
        <v>3</v>
      </c>
      <c r="C90" s="92">
        <v>3.09</v>
      </c>
      <c r="D90" s="92">
        <v>3.22</v>
      </c>
      <c r="E90" s="92">
        <v>4.6399999999999997</v>
      </c>
      <c r="F90" s="92">
        <v>6.02</v>
      </c>
      <c r="H90" s="92" t="s">
        <v>494</v>
      </c>
      <c r="I90" s="92">
        <v>4.57</v>
      </c>
      <c r="J90" s="92">
        <v>5.01</v>
      </c>
      <c r="K90" s="92">
        <v>3.58</v>
      </c>
      <c r="L90" s="92">
        <v>4.43</v>
      </c>
      <c r="M90" s="92">
        <v>7.98</v>
      </c>
      <c r="O90" s="92" t="s">
        <v>494</v>
      </c>
      <c r="P90" s="92">
        <v>5.64</v>
      </c>
      <c r="Q90" s="92">
        <v>7.06</v>
      </c>
      <c r="R90" s="92">
        <v>9.26</v>
      </c>
      <c r="S90" s="92">
        <v>5.66</v>
      </c>
      <c r="T90" s="92">
        <v>5</v>
      </c>
    </row>
    <row r="91" spans="1:20">
      <c r="A91" s="38" t="s">
        <v>495</v>
      </c>
      <c r="B91" s="38">
        <v>4.17</v>
      </c>
      <c r="C91" s="38">
        <v>4.6500000000000004</v>
      </c>
      <c r="D91" s="38">
        <v>4.82</v>
      </c>
      <c r="E91" s="38">
        <v>7.06</v>
      </c>
      <c r="F91" s="38">
        <v>8.2100000000000009</v>
      </c>
      <c r="H91" s="38" t="s">
        <v>495</v>
      </c>
      <c r="I91" s="38">
        <v>5.84</v>
      </c>
      <c r="J91" s="38">
        <v>6.86</v>
      </c>
      <c r="K91" s="38">
        <v>4.78</v>
      </c>
      <c r="L91" s="38">
        <v>4.9400000000000004</v>
      </c>
      <c r="M91" s="38">
        <v>9.3000000000000007</v>
      </c>
      <c r="O91" s="38" t="s">
        <v>495</v>
      </c>
      <c r="P91" s="38">
        <v>11.65</v>
      </c>
      <c r="Q91" s="38">
        <v>14.21</v>
      </c>
      <c r="R91" s="38">
        <v>11.3</v>
      </c>
      <c r="S91" s="38">
        <v>5.17</v>
      </c>
      <c r="T91" s="38">
        <v>6.58</v>
      </c>
    </row>
    <row r="92" spans="1:20">
      <c r="A92" s="92" t="s">
        <v>496</v>
      </c>
      <c r="B92" s="92">
        <v>3.94</v>
      </c>
      <c r="C92" s="92">
        <v>4.38</v>
      </c>
      <c r="D92" s="92">
        <v>4.72</v>
      </c>
      <c r="E92" s="92">
        <v>6.9</v>
      </c>
      <c r="F92" s="92">
        <v>7.95</v>
      </c>
      <c r="H92" s="92" t="s">
        <v>496</v>
      </c>
      <c r="I92" s="92">
        <v>5.61</v>
      </c>
      <c r="J92" s="92">
        <v>6.61</v>
      </c>
      <c r="K92" s="92">
        <v>4.58</v>
      </c>
      <c r="L92" s="92">
        <v>4.75</v>
      </c>
      <c r="M92" s="92">
        <v>8.9700000000000006</v>
      </c>
      <c r="O92" s="92" t="s">
        <v>496</v>
      </c>
      <c r="P92" s="92">
        <v>11.26</v>
      </c>
      <c r="Q92" s="92">
        <v>13.7</v>
      </c>
      <c r="R92" s="92">
        <v>10.79</v>
      </c>
      <c r="S92" s="92">
        <v>4.96</v>
      </c>
      <c r="T92" s="92">
        <v>6.17</v>
      </c>
    </row>
    <row r="93" spans="1:20">
      <c r="A93" s="38" t="s">
        <v>497</v>
      </c>
      <c r="B93" s="38">
        <v>0.17</v>
      </c>
      <c r="C93" s="38">
        <v>0.15</v>
      </c>
      <c r="D93" s="38">
        <v>0.16</v>
      </c>
      <c r="E93" s="38">
        <v>0.09</v>
      </c>
      <c r="F93" s="38">
        <v>0.03</v>
      </c>
      <c r="H93" s="38" t="s">
        <v>497</v>
      </c>
      <c r="I93" s="38">
        <v>0.1</v>
      </c>
      <c r="J93" s="38">
        <v>7.0000000000000007E-2</v>
      </c>
      <c r="K93" s="38">
        <v>0.13</v>
      </c>
      <c r="L93" s="38">
        <v>0.06</v>
      </c>
      <c r="M93" s="38">
        <v>0.01</v>
      </c>
      <c r="O93" s="38" t="s">
        <v>497</v>
      </c>
      <c r="P93" s="38">
        <v>0.11</v>
      </c>
      <c r="Q93" s="38">
        <v>0.03</v>
      </c>
      <c r="R93" s="38">
        <v>0.02</v>
      </c>
      <c r="S93" s="38">
        <v>0.04</v>
      </c>
      <c r="T93" s="38">
        <v>0.05</v>
      </c>
    </row>
    <row r="94" spans="1:20">
      <c r="A94" s="92" t="s">
        <v>498</v>
      </c>
      <c r="B94" s="92">
        <v>0.24</v>
      </c>
      <c r="C94" s="92">
        <v>0.22</v>
      </c>
      <c r="D94" s="92">
        <v>0.22</v>
      </c>
      <c r="E94" s="92">
        <v>0.14000000000000001</v>
      </c>
      <c r="F94" s="92">
        <v>0.08</v>
      </c>
      <c r="H94" s="92" t="s">
        <v>498</v>
      </c>
      <c r="I94" s="92">
        <v>0.16</v>
      </c>
      <c r="J94" s="92">
        <v>0.13</v>
      </c>
      <c r="K94" s="92">
        <v>0.19</v>
      </c>
      <c r="L94" s="92">
        <v>0.11</v>
      </c>
      <c r="M94" s="92">
        <v>0.05</v>
      </c>
      <c r="O94" s="92" t="s">
        <v>498</v>
      </c>
      <c r="P94" s="92">
        <v>0.17</v>
      </c>
      <c r="Q94" s="92">
        <v>0.12</v>
      </c>
      <c r="R94" s="92">
        <v>0.11</v>
      </c>
      <c r="S94" s="92">
        <v>0.12</v>
      </c>
      <c r="T94" s="92">
        <v>0.14000000000000001</v>
      </c>
    </row>
    <row r="95" spans="1:20">
      <c r="A95" s="38" t="s">
        <v>499</v>
      </c>
      <c r="B95" s="38">
        <v>4.04</v>
      </c>
      <c r="C95" s="38">
        <v>4.28</v>
      </c>
      <c r="D95" s="38">
        <v>4.42</v>
      </c>
      <c r="E95" s="38">
        <v>7.15</v>
      </c>
      <c r="F95" s="38">
        <v>10.84</v>
      </c>
      <c r="H95" s="38" t="s">
        <v>499</v>
      </c>
      <c r="I95" s="38">
        <v>7.81</v>
      </c>
      <c r="J95" s="38">
        <v>7.69</v>
      </c>
      <c r="K95" s="38">
        <v>5.07</v>
      </c>
      <c r="L95" s="38">
        <v>7.45</v>
      </c>
      <c r="M95" s="38">
        <v>20.49</v>
      </c>
      <c r="O95" s="38" t="s">
        <v>499</v>
      </c>
      <c r="P95" s="38">
        <v>7.31</v>
      </c>
      <c r="Q95" s="38">
        <v>11.78</v>
      </c>
      <c r="R95" s="38">
        <v>34.96</v>
      </c>
      <c r="S95" s="38">
        <v>7.65</v>
      </c>
      <c r="T95" s="38">
        <v>6.34</v>
      </c>
    </row>
    <row r="96" spans="1:20">
      <c r="A96" s="92" t="s">
        <v>500</v>
      </c>
      <c r="B96" s="92">
        <v>4.01</v>
      </c>
      <c r="C96" s="92">
        <v>4.2300000000000004</v>
      </c>
      <c r="D96" s="92">
        <v>4.18</v>
      </c>
      <c r="E96" s="92">
        <v>6.85</v>
      </c>
      <c r="F96" s="92">
        <v>10.53</v>
      </c>
      <c r="H96" s="92" t="s">
        <v>500</v>
      </c>
      <c r="I96" s="92">
        <v>7.77</v>
      </c>
      <c r="J96" s="92">
        <v>7.68</v>
      </c>
      <c r="K96" s="92">
        <v>5.05</v>
      </c>
      <c r="L96" s="92">
        <v>7.44</v>
      </c>
      <c r="M96" s="92">
        <v>20.440000000000001</v>
      </c>
      <c r="O96" s="92" t="s">
        <v>500</v>
      </c>
      <c r="P96" s="92">
        <v>7.12</v>
      </c>
      <c r="Q96" s="92">
        <v>11.55</v>
      </c>
      <c r="R96" s="92">
        <v>34.409999999999997</v>
      </c>
      <c r="S96" s="92">
        <v>7.51</v>
      </c>
      <c r="T96" s="92">
        <v>6.23</v>
      </c>
    </row>
    <row r="97" spans="1:20">
      <c r="A97" s="38" t="s">
        <v>501</v>
      </c>
      <c r="B97" s="38">
        <v>4.53</v>
      </c>
      <c r="C97" s="38">
        <v>4.12</v>
      </c>
      <c r="D97" s="38">
        <v>3.68</v>
      </c>
      <c r="E97" s="38">
        <v>3.18</v>
      </c>
      <c r="F97" s="38">
        <v>2.8</v>
      </c>
      <c r="H97" s="38" t="s">
        <v>501</v>
      </c>
      <c r="I97" s="38">
        <v>2.94</v>
      </c>
      <c r="J97" s="38">
        <v>3.76</v>
      </c>
      <c r="K97" s="38">
        <v>4.4800000000000004</v>
      </c>
      <c r="L97" s="38">
        <v>4.0199999999999996</v>
      </c>
      <c r="M97" s="38">
        <v>2.57</v>
      </c>
      <c r="O97" s="38" t="s">
        <v>501</v>
      </c>
      <c r="P97" s="38">
        <v>2.62</v>
      </c>
      <c r="Q97" s="38">
        <v>1.23</v>
      </c>
      <c r="R97" s="38">
        <v>0.31</v>
      </c>
      <c r="S97" s="38">
        <v>2.38</v>
      </c>
      <c r="T97" s="38">
        <v>2.72</v>
      </c>
    </row>
    <row r="98" spans="1:20">
      <c r="A98" s="93" t="s">
        <v>429</v>
      </c>
      <c r="B98" s="93" t="s">
        <v>390</v>
      </c>
      <c r="C98" s="93" t="s">
        <v>390</v>
      </c>
      <c r="D98" s="93" t="s">
        <v>390</v>
      </c>
      <c r="E98" s="93" t="s">
        <v>390</v>
      </c>
      <c r="F98" s="93" t="s">
        <v>390</v>
      </c>
      <c r="H98" s="93" t="s">
        <v>429</v>
      </c>
      <c r="I98" s="93" t="s">
        <v>390</v>
      </c>
      <c r="J98" s="93" t="s">
        <v>390</v>
      </c>
      <c r="K98" s="93" t="s">
        <v>390</v>
      </c>
      <c r="L98" s="93" t="s">
        <v>390</v>
      </c>
      <c r="M98" s="93" t="s">
        <v>390</v>
      </c>
      <c r="O98" s="93" t="s">
        <v>429</v>
      </c>
      <c r="P98" s="93" t="s">
        <v>390</v>
      </c>
      <c r="Q98" s="93" t="s">
        <v>390</v>
      </c>
      <c r="R98" s="93" t="s">
        <v>390</v>
      </c>
      <c r="S98" s="93" t="s">
        <v>390</v>
      </c>
      <c r="T98" s="93" t="s">
        <v>390</v>
      </c>
    </row>
    <row r="99" spans="1:20">
      <c r="A99" s="38" t="s">
        <v>502</v>
      </c>
      <c r="B99" s="38">
        <v>124.68</v>
      </c>
      <c r="C99" s="38">
        <v>111.9</v>
      </c>
      <c r="D99" s="38">
        <v>101.68</v>
      </c>
      <c r="E99" s="38">
        <v>110.88</v>
      </c>
      <c r="F99" s="38">
        <v>120.87</v>
      </c>
      <c r="H99" s="38" t="s">
        <v>502</v>
      </c>
      <c r="I99" s="38">
        <v>164.24</v>
      </c>
      <c r="J99" s="38">
        <v>177.59</v>
      </c>
      <c r="K99" s="38">
        <v>124.59</v>
      </c>
      <c r="L99" s="38">
        <v>132.86000000000001</v>
      </c>
      <c r="M99" s="38">
        <v>150.91999999999999</v>
      </c>
      <c r="O99" s="38" t="s">
        <v>502</v>
      </c>
      <c r="P99" s="38">
        <v>203.7</v>
      </c>
      <c r="Q99" s="38">
        <v>220.64</v>
      </c>
      <c r="R99" s="38">
        <v>203.78</v>
      </c>
      <c r="S99" s="38">
        <v>180.52</v>
      </c>
      <c r="T99" s="38">
        <v>202.74</v>
      </c>
    </row>
    <row r="100" spans="1:20">
      <c r="A100" s="92" t="s">
        <v>503</v>
      </c>
      <c r="B100" s="92">
        <v>53.54</v>
      </c>
      <c r="C100" s="92">
        <v>50.86</v>
      </c>
      <c r="D100" s="92">
        <v>48.53</v>
      </c>
      <c r="E100" s="92">
        <v>50.83</v>
      </c>
      <c r="F100" s="92">
        <v>52.96</v>
      </c>
      <c r="H100" s="92" t="s">
        <v>503</v>
      </c>
      <c r="I100" s="92">
        <v>60.43</v>
      </c>
      <c r="J100" s="92">
        <v>62.39</v>
      </c>
      <c r="K100" s="92">
        <v>54.06</v>
      </c>
      <c r="L100" s="92">
        <v>55.74</v>
      </c>
      <c r="M100" s="92">
        <v>58.76</v>
      </c>
      <c r="O100" s="92" t="s">
        <v>503</v>
      </c>
      <c r="P100" s="92">
        <v>64.91</v>
      </c>
      <c r="Q100" s="92">
        <v>66.599999999999994</v>
      </c>
      <c r="R100" s="92">
        <v>64.59</v>
      </c>
      <c r="S100" s="92">
        <v>62.14</v>
      </c>
      <c r="T100" s="92">
        <v>63.59</v>
      </c>
    </row>
    <row r="101" spans="1:20">
      <c r="A101" s="38" t="s">
        <v>504</v>
      </c>
      <c r="B101" s="38">
        <v>37.520000000000003</v>
      </c>
      <c r="C101" s="38">
        <v>36.729999999999997</v>
      </c>
      <c r="D101" s="38">
        <v>35.630000000000003</v>
      </c>
      <c r="E101" s="38">
        <v>39.020000000000003</v>
      </c>
      <c r="F101" s="38">
        <v>41.21</v>
      </c>
      <c r="H101" s="38" t="s">
        <v>504</v>
      </c>
      <c r="I101" s="38">
        <v>41.42</v>
      </c>
      <c r="J101" s="38">
        <v>43.67</v>
      </c>
      <c r="K101" s="38">
        <v>36.71</v>
      </c>
      <c r="L101" s="38">
        <v>37.44</v>
      </c>
      <c r="M101" s="38">
        <v>39.04</v>
      </c>
      <c r="O101" s="38" t="s">
        <v>504</v>
      </c>
      <c r="P101" s="38">
        <v>42.95</v>
      </c>
      <c r="Q101" s="38">
        <v>45.91</v>
      </c>
      <c r="R101" s="38">
        <v>44.67</v>
      </c>
      <c r="S101" s="38">
        <v>42.45</v>
      </c>
      <c r="T101" s="38">
        <v>42.58</v>
      </c>
    </row>
    <row r="102" spans="1:20">
      <c r="A102" s="216" t="s">
        <v>431</v>
      </c>
      <c r="B102" s="92">
        <v>39.99</v>
      </c>
      <c r="C102" s="92">
        <v>39.39</v>
      </c>
      <c r="D102" s="92">
        <v>38.380000000000003</v>
      </c>
      <c r="E102" s="92">
        <v>41.58</v>
      </c>
      <c r="F102" s="92">
        <v>43.72</v>
      </c>
      <c r="H102" s="92" t="s">
        <v>431</v>
      </c>
      <c r="I102" s="92">
        <v>43.32</v>
      </c>
      <c r="J102" s="92">
        <v>45.41</v>
      </c>
      <c r="K102" s="92">
        <v>38.450000000000003</v>
      </c>
      <c r="L102" s="92">
        <v>38.99</v>
      </c>
      <c r="M102" s="92">
        <v>40.56</v>
      </c>
      <c r="O102" s="92" t="s">
        <v>431</v>
      </c>
      <c r="P102" s="92">
        <v>45.08</v>
      </c>
      <c r="Q102" s="92">
        <v>48.13</v>
      </c>
      <c r="R102" s="92">
        <v>47.23</v>
      </c>
      <c r="S102" s="92">
        <v>44.8</v>
      </c>
      <c r="T102" s="92">
        <v>45.96</v>
      </c>
    </row>
    <row r="103" spans="1:20">
      <c r="A103" s="38" t="s">
        <v>505</v>
      </c>
      <c r="B103" s="38">
        <v>131.91999999999999</v>
      </c>
      <c r="C103" s="38">
        <v>118.71</v>
      </c>
      <c r="D103" s="38">
        <v>103.87</v>
      </c>
      <c r="E103" s="38">
        <v>113.46</v>
      </c>
      <c r="F103" s="38">
        <v>124.76</v>
      </c>
      <c r="H103" s="38" t="s">
        <v>505</v>
      </c>
      <c r="I103" s="38">
        <v>170.92</v>
      </c>
      <c r="J103" s="38">
        <v>184.4</v>
      </c>
      <c r="K103" s="38">
        <v>130.05000000000001</v>
      </c>
      <c r="L103" s="38">
        <v>138.18</v>
      </c>
      <c r="M103" s="38">
        <v>156.51</v>
      </c>
      <c r="O103" s="38" t="s">
        <v>505</v>
      </c>
      <c r="P103" s="38">
        <v>210.78</v>
      </c>
      <c r="Q103" s="38">
        <v>228.74</v>
      </c>
      <c r="R103" s="38">
        <v>213.42</v>
      </c>
      <c r="S103" s="38">
        <v>188.37</v>
      </c>
      <c r="T103" s="38">
        <v>216.08</v>
      </c>
    </row>
    <row r="104" spans="1:20">
      <c r="A104" s="92" t="s">
        <v>506</v>
      </c>
      <c r="B104" s="92">
        <v>132.88</v>
      </c>
      <c r="C104" s="92">
        <v>120.01</v>
      </c>
      <c r="D104" s="92">
        <v>109.54</v>
      </c>
      <c r="E104" s="92">
        <v>118.15</v>
      </c>
      <c r="F104" s="92">
        <v>128.22999999999999</v>
      </c>
      <c r="H104" s="92" t="s">
        <v>506</v>
      </c>
      <c r="I104" s="92">
        <v>171.8</v>
      </c>
      <c r="J104" s="92">
        <v>184.65</v>
      </c>
      <c r="K104" s="92">
        <v>130.47</v>
      </c>
      <c r="L104" s="92">
        <v>138.35</v>
      </c>
      <c r="M104" s="92">
        <v>156.82</v>
      </c>
      <c r="O104" s="92" t="s">
        <v>506</v>
      </c>
      <c r="P104" s="92">
        <v>213.83</v>
      </c>
      <c r="Q104" s="92">
        <v>231.3</v>
      </c>
      <c r="R104" s="92">
        <v>215.48</v>
      </c>
      <c r="S104" s="92">
        <v>190.52</v>
      </c>
      <c r="T104" s="92">
        <v>218.82</v>
      </c>
    </row>
    <row r="105" spans="1:20">
      <c r="A105" s="38" t="s">
        <v>507</v>
      </c>
      <c r="B105" s="38">
        <v>56.65</v>
      </c>
      <c r="C105" s="38">
        <v>53.96</v>
      </c>
      <c r="D105" s="38">
        <v>49.57</v>
      </c>
      <c r="E105" s="38">
        <v>52.01</v>
      </c>
      <c r="F105" s="38">
        <v>54.66</v>
      </c>
      <c r="H105" s="38" t="s">
        <v>507</v>
      </c>
      <c r="I105" s="38">
        <v>62.88</v>
      </c>
      <c r="J105" s="38">
        <v>64.78</v>
      </c>
      <c r="K105" s="38">
        <v>56.43</v>
      </c>
      <c r="L105" s="38">
        <v>57.97</v>
      </c>
      <c r="M105" s="38">
        <v>60.94</v>
      </c>
      <c r="O105" s="38" t="s">
        <v>507</v>
      </c>
      <c r="P105" s="38">
        <v>67.16</v>
      </c>
      <c r="Q105" s="38">
        <v>69.040000000000006</v>
      </c>
      <c r="R105" s="38">
        <v>67.650000000000006</v>
      </c>
      <c r="S105" s="38">
        <v>64.84</v>
      </c>
      <c r="T105" s="38">
        <v>67.77</v>
      </c>
    </row>
    <row r="106" spans="1:20">
      <c r="A106" s="92" t="s">
        <v>508</v>
      </c>
      <c r="B106" s="92">
        <v>57.06</v>
      </c>
      <c r="C106" s="92">
        <v>54.55</v>
      </c>
      <c r="D106" s="92">
        <v>52.28</v>
      </c>
      <c r="E106" s="92">
        <v>54.16</v>
      </c>
      <c r="F106" s="92">
        <v>56.18</v>
      </c>
      <c r="H106" s="92" t="s">
        <v>508</v>
      </c>
      <c r="I106" s="92">
        <v>63.21</v>
      </c>
      <c r="J106" s="92">
        <v>64.87</v>
      </c>
      <c r="K106" s="92">
        <v>56.61</v>
      </c>
      <c r="L106" s="92">
        <v>58.04</v>
      </c>
      <c r="M106" s="92">
        <v>61.06</v>
      </c>
      <c r="O106" s="92" t="s">
        <v>508</v>
      </c>
      <c r="P106" s="92">
        <v>68.14</v>
      </c>
      <c r="Q106" s="92">
        <v>69.819999999999993</v>
      </c>
      <c r="R106" s="92">
        <v>68.3</v>
      </c>
      <c r="S106" s="92">
        <v>65.58</v>
      </c>
      <c r="T106" s="92">
        <v>68.63</v>
      </c>
    </row>
    <row r="107" spans="1:20">
      <c r="A107" s="660" t="s">
        <v>509</v>
      </c>
      <c r="B107" s="660"/>
      <c r="C107" s="38"/>
      <c r="D107" s="38"/>
      <c r="E107" s="38"/>
      <c r="F107" s="38"/>
      <c r="H107" s="660" t="s">
        <v>509</v>
      </c>
      <c r="I107" s="660"/>
      <c r="J107" s="38"/>
      <c r="K107" s="38"/>
      <c r="L107" s="38"/>
      <c r="M107" s="38"/>
      <c r="O107" s="660" t="s">
        <v>509</v>
      </c>
      <c r="P107" s="660"/>
      <c r="Q107" s="38"/>
      <c r="R107" s="38"/>
      <c r="S107" s="38"/>
      <c r="T107" s="38"/>
    </row>
    <row r="112" spans="1:20">
      <c r="A112" s="216" t="s">
        <v>411</v>
      </c>
      <c r="B112" s="92">
        <v>17.41</v>
      </c>
      <c r="C112" s="92">
        <v>17.25</v>
      </c>
      <c r="D112" s="92">
        <v>17.27</v>
      </c>
      <c r="E112" s="92">
        <v>16.13</v>
      </c>
      <c r="F112" s="92">
        <v>15.79</v>
      </c>
    </row>
  </sheetData>
  <mergeCells count="3">
    <mergeCell ref="A107:B107"/>
    <mergeCell ref="H107:I107"/>
    <mergeCell ref="O107:P10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CBCD-F9C5-4149-B680-DB6D55604E8B}">
  <dimension ref="A1:L33"/>
  <sheetViews>
    <sheetView workbookViewId="0"/>
  </sheetViews>
  <sheetFormatPr baseColWidth="10" defaultColWidth="11" defaultRowHeight="16"/>
  <cols>
    <col min="1" max="1" width="32.1640625" customWidth="1"/>
    <col min="4" max="4" width="2" bestFit="1" customWidth="1"/>
    <col min="5" max="5" width="3.83203125" bestFit="1" customWidth="1"/>
  </cols>
  <sheetData>
    <row r="1" spans="1:12" ht="29">
      <c r="A1" s="210" t="s">
        <v>536</v>
      </c>
    </row>
    <row r="4" spans="1:12" ht="17" thickBot="1">
      <c r="A4" s="663" t="s">
        <v>390</v>
      </c>
      <c r="B4" s="663"/>
      <c r="C4" s="663"/>
      <c r="D4" s="664" t="s">
        <v>537</v>
      </c>
      <c r="E4" s="664"/>
      <c r="F4" s="664"/>
      <c r="G4" s="665"/>
      <c r="H4" s="665"/>
      <c r="I4" s="665"/>
      <c r="J4" s="666" t="s">
        <v>538</v>
      </c>
      <c r="K4" s="666"/>
      <c r="L4" s="666"/>
    </row>
    <row r="5" spans="1:12">
      <c r="A5" s="663" t="s">
        <v>390</v>
      </c>
      <c r="B5" s="663"/>
      <c r="C5" s="663"/>
      <c r="D5" s="667" t="s">
        <v>539</v>
      </c>
      <c r="E5" s="667"/>
      <c r="F5" s="667"/>
      <c r="G5" s="667"/>
      <c r="H5" s="667"/>
      <c r="I5" s="667"/>
      <c r="J5" s="667"/>
      <c r="K5" s="667"/>
      <c r="L5" s="667"/>
    </row>
    <row r="6" spans="1:12">
      <c r="A6" s="668" t="s">
        <v>540</v>
      </c>
      <c r="B6" s="668"/>
      <c r="C6" s="668"/>
      <c r="D6" s="211" t="s">
        <v>541</v>
      </c>
      <c r="E6" s="211" t="s">
        <v>542</v>
      </c>
      <c r="F6" s="212"/>
      <c r="G6" s="669"/>
      <c r="H6" s="669"/>
      <c r="I6" s="669"/>
      <c r="J6" s="211" t="s">
        <v>541</v>
      </c>
      <c r="K6" s="211" t="s">
        <v>543</v>
      </c>
      <c r="L6" s="212"/>
    </row>
    <row r="7" spans="1:12">
      <c r="A7" s="670" t="s">
        <v>544</v>
      </c>
      <c r="B7" s="670"/>
      <c r="C7" s="670"/>
      <c r="D7" s="670" t="s">
        <v>543</v>
      </c>
      <c r="E7" s="670"/>
      <c r="F7" s="213"/>
      <c r="G7" s="671"/>
      <c r="H7" s="671"/>
      <c r="I7" s="671"/>
      <c r="J7" s="670" t="s">
        <v>545</v>
      </c>
      <c r="K7" s="670"/>
      <c r="L7" s="213"/>
    </row>
    <row r="8" spans="1:12">
      <c r="A8" s="668" t="s">
        <v>546</v>
      </c>
      <c r="B8" s="668"/>
      <c r="C8" s="668"/>
      <c r="D8" s="668" t="s">
        <v>543</v>
      </c>
      <c r="E8" s="668"/>
      <c r="F8" s="212"/>
      <c r="G8" s="669"/>
      <c r="H8" s="669"/>
      <c r="I8" s="669"/>
      <c r="J8" s="668" t="s">
        <v>547</v>
      </c>
      <c r="K8" s="668"/>
      <c r="L8" s="212"/>
    </row>
    <row r="9" spans="1:12">
      <c r="A9" s="670" t="s">
        <v>548</v>
      </c>
      <c r="B9" s="670"/>
      <c r="C9" s="670"/>
      <c r="D9" s="670" t="s">
        <v>549</v>
      </c>
      <c r="E9" s="670"/>
      <c r="F9" s="213"/>
      <c r="G9" s="671"/>
      <c r="H9" s="671"/>
      <c r="I9" s="671"/>
      <c r="J9" s="670" t="s">
        <v>550</v>
      </c>
      <c r="K9" s="670"/>
      <c r="L9" s="213"/>
    </row>
    <row r="10" spans="1:12">
      <c r="A10" s="668" t="s">
        <v>551</v>
      </c>
      <c r="B10" s="668"/>
      <c r="C10" s="668"/>
      <c r="D10" s="668" t="s">
        <v>552</v>
      </c>
      <c r="E10" s="668"/>
      <c r="F10" s="212"/>
      <c r="G10" s="669"/>
      <c r="H10" s="669"/>
      <c r="I10" s="669"/>
      <c r="J10" s="668" t="s">
        <v>553</v>
      </c>
      <c r="K10" s="668"/>
      <c r="L10" s="212"/>
    </row>
    <row r="11" spans="1:12">
      <c r="A11" s="670" t="s">
        <v>554</v>
      </c>
      <c r="B11" s="670"/>
      <c r="C11" s="670"/>
      <c r="D11" s="670" t="s">
        <v>555</v>
      </c>
      <c r="E11" s="670"/>
      <c r="F11" s="213"/>
      <c r="G11" s="671"/>
      <c r="H11" s="671"/>
      <c r="I11" s="671"/>
      <c r="J11" s="670" t="s">
        <v>555</v>
      </c>
      <c r="K11" s="670"/>
      <c r="L11" s="213"/>
    </row>
    <row r="12" spans="1:12">
      <c r="A12" s="668" t="s">
        <v>556</v>
      </c>
      <c r="B12" s="668"/>
      <c r="C12" s="668"/>
      <c r="D12" s="668" t="s">
        <v>557</v>
      </c>
      <c r="E12" s="668"/>
      <c r="F12" s="212"/>
      <c r="G12" s="669"/>
      <c r="H12" s="669"/>
      <c r="I12" s="669"/>
      <c r="J12" s="668" t="s">
        <v>558</v>
      </c>
      <c r="K12" s="668"/>
      <c r="L12" s="212"/>
    </row>
    <row r="13" spans="1:12">
      <c r="A13" s="670" t="s">
        <v>559</v>
      </c>
      <c r="B13" s="670"/>
      <c r="C13" s="670"/>
      <c r="D13" s="670" t="s">
        <v>560</v>
      </c>
      <c r="E13" s="670"/>
      <c r="F13" s="213"/>
      <c r="G13" s="671"/>
      <c r="H13" s="671"/>
      <c r="I13" s="671"/>
      <c r="J13" s="670" t="s">
        <v>560</v>
      </c>
      <c r="K13" s="670"/>
      <c r="L13" s="213"/>
    </row>
    <row r="14" spans="1:12">
      <c r="A14" s="668" t="s">
        <v>561</v>
      </c>
      <c r="B14" s="668"/>
      <c r="C14" s="668"/>
      <c r="D14" s="668" t="s">
        <v>562</v>
      </c>
      <c r="E14" s="668"/>
      <c r="F14" s="212"/>
      <c r="G14" s="669"/>
      <c r="H14" s="669"/>
      <c r="I14" s="669"/>
      <c r="J14" s="668" t="s">
        <v>563</v>
      </c>
      <c r="K14" s="668"/>
      <c r="L14" s="212"/>
    </row>
    <row r="15" spans="1:12">
      <c r="A15" s="670" t="s">
        <v>564</v>
      </c>
      <c r="B15" s="670"/>
      <c r="C15" s="670"/>
      <c r="D15" s="670">
        <v>498</v>
      </c>
      <c r="E15" s="670"/>
      <c r="F15" s="670"/>
      <c r="G15" s="671"/>
      <c r="H15" s="671"/>
      <c r="I15" s="671"/>
      <c r="J15" s="670">
        <v>497</v>
      </c>
      <c r="K15" s="670"/>
      <c r="L15" s="670"/>
    </row>
    <row r="16" spans="1:12">
      <c r="A16" s="668" t="s">
        <v>565</v>
      </c>
      <c r="B16" s="668"/>
      <c r="C16" s="668"/>
      <c r="D16" s="668">
        <v>995</v>
      </c>
      <c r="E16" s="668"/>
      <c r="F16" s="668"/>
      <c r="G16" s="669"/>
      <c r="H16" s="669"/>
      <c r="I16" s="669"/>
      <c r="J16" s="668">
        <v>994</v>
      </c>
      <c r="K16" s="668"/>
      <c r="L16" s="668"/>
    </row>
    <row r="17" spans="1:12">
      <c r="A17" s="670" t="s">
        <v>566</v>
      </c>
      <c r="B17" s="670"/>
      <c r="C17" s="670"/>
      <c r="D17" s="670">
        <v>695</v>
      </c>
      <c r="E17" s="670"/>
      <c r="F17" s="670"/>
      <c r="G17" s="671"/>
      <c r="H17" s="671"/>
      <c r="I17" s="671"/>
      <c r="J17" s="670" t="s">
        <v>543</v>
      </c>
      <c r="K17" s="670"/>
      <c r="L17" s="213"/>
    </row>
    <row r="18" spans="1:12">
      <c r="A18" s="668" t="s">
        <v>567</v>
      </c>
      <c r="B18" s="668"/>
      <c r="C18" s="668"/>
      <c r="D18" s="668">
        <v>447</v>
      </c>
      <c r="E18" s="668"/>
      <c r="F18" s="668"/>
      <c r="G18" s="669"/>
      <c r="H18" s="669"/>
      <c r="I18" s="669"/>
      <c r="J18" s="668">
        <v>446</v>
      </c>
      <c r="K18" s="668"/>
      <c r="L18" s="668"/>
    </row>
    <row r="19" spans="1:12">
      <c r="A19" s="670" t="s">
        <v>568</v>
      </c>
      <c r="B19" s="670"/>
      <c r="C19" s="670"/>
      <c r="D19" s="670" t="s">
        <v>569</v>
      </c>
      <c r="E19" s="670"/>
      <c r="F19" s="213"/>
      <c r="G19" s="671"/>
      <c r="H19" s="671"/>
      <c r="I19" s="671"/>
      <c r="J19" s="670" t="s">
        <v>570</v>
      </c>
      <c r="K19" s="670"/>
      <c r="L19" s="213"/>
    </row>
    <row r="20" spans="1:12">
      <c r="A20" s="668" t="s">
        <v>571</v>
      </c>
      <c r="B20" s="668"/>
      <c r="C20" s="668"/>
      <c r="D20" s="668">
        <v>562</v>
      </c>
      <c r="E20" s="668"/>
      <c r="F20" s="668"/>
      <c r="G20" s="669"/>
      <c r="H20" s="669"/>
      <c r="I20" s="669"/>
      <c r="J20" s="668" t="s">
        <v>543</v>
      </c>
      <c r="K20" s="668"/>
      <c r="L20" s="212"/>
    </row>
    <row r="21" spans="1:12">
      <c r="A21" s="670" t="s">
        <v>572</v>
      </c>
      <c r="B21" s="670"/>
      <c r="C21" s="670"/>
      <c r="D21" s="670">
        <v>383</v>
      </c>
      <c r="E21" s="670"/>
      <c r="F21" s="670"/>
      <c r="G21" s="671"/>
      <c r="H21" s="671"/>
      <c r="I21" s="671"/>
      <c r="J21" s="670" t="s">
        <v>573</v>
      </c>
      <c r="K21" s="670"/>
      <c r="L21" s="213"/>
    </row>
    <row r="22" spans="1:12">
      <c r="A22" s="668" t="s">
        <v>574</v>
      </c>
      <c r="B22" s="668"/>
      <c r="C22" s="668"/>
      <c r="D22" s="668">
        <v>200</v>
      </c>
      <c r="E22" s="668"/>
      <c r="F22" s="668"/>
      <c r="G22" s="669"/>
      <c r="H22" s="669"/>
      <c r="I22" s="669"/>
      <c r="J22" s="668" t="s">
        <v>545</v>
      </c>
      <c r="K22" s="668"/>
      <c r="L22" s="212"/>
    </row>
    <row r="23" spans="1:12">
      <c r="A23" s="670" t="s">
        <v>575</v>
      </c>
      <c r="B23" s="670"/>
      <c r="C23" s="670"/>
      <c r="D23" s="670">
        <v>350</v>
      </c>
      <c r="E23" s="670"/>
      <c r="F23" s="670"/>
      <c r="G23" s="671"/>
      <c r="H23" s="671"/>
      <c r="I23" s="671"/>
      <c r="J23" s="670" t="s">
        <v>576</v>
      </c>
      <c r="K23" s="670"/>
      <c r="L23" s="213"/>
    </row>
    <row r="24" spans="1:12">
      <c r="A24" s="668" t="s">
        <v>577</v>
      </c>
      <c r="B24" s="668"/>
      <c r="C24" s="668"/>
      <c r="D24" s="668">
        <v>497</v>
      </c>
      <c r="E24" s="668"/>
      <c r="F24" s="668"/>
      <c r="G24" s="669"/>
      <c r="H24" s="669"/>
      <c r="I24" s="669"/>
      <c r="J24" s="668" t="s">
        <v>562</v>
      </c>
      <c r="K24" s="668"/>
      <c r="L24" s="212"/>
    </row>
    <row r="25" spans="1:12">
      <c r="A25" s="670" t="s">
        <v>578</v>
      </c>
      <c r="B25" s="670"/>
      <c r="C25" s="670"/>
      <c r="D25" s="670">
        <v>495</v>
      </c>
      <c r="E25" s="670"/>
      <c r="F25" s="670"/>
      <c r="G25" s="671"/>
      <c r="H25" s="671"/>
      <c r="I25" s="671"/>
      <c r="J25" s="670" t="s">
        <v>579</v>
      </c>
      <c r="K25" s="670"/>
      <c r="L25" s="213"/>
    </row>
    <row r="26" spans="1:12">
      <c r="A26" s="668" t="s">
        <v>580</v>
      </c>
      <c r="B26" s="668"/>
      <c r="C26" s="668"/>
      <c r="D26" s="668">
        <v>493</v>
      </c>
      <c r="E26" s="668"/>
      <c r="F26" s="668"/>
      <c r="G26" s="669"/>
      <c r="H26" s="669"/>
      <c r="I26" s="669"/>
      <c r="J26" s="668" t="s">
        <v>581</v>
      </c>
      <c r="K26" s="668"/>
      <c r="L26" s="212"/>
    </row>
    <row r="27" spans="1:12">
      <c r="A27" s="670" t="s">
        <v>582</v>
      </c>
      <c r="B27" s="670"/>
      <c r="C27" s="670"/>
      <c r="D27" s="670">
        <v>495</v>
      </c>
      <c r="E27" s="670"/>
      <c r="F27" s="670"/>
      <c r="G27" s="671"/>
      <c r="H27" s="671"/>
      <c r="I27" s="671"/>
      <c r="J27" s="670" t="s">
        <v>579</v>
      </c>
      <c r="K27" s="670"/>
      <c r="L27" s="213"/>
    </row>
    <row r="28" spans="1:12">
      <c r="A28" s="668" t="s">
        <v>583</v>
      </c>
      <c r="B28" s="668"/>
      <c r="C28" s="668"/>
      <c r="D28" s="668" t="s">
        <v>584</v>
      </c>
      <c r="E28" s="668"/>
      <c r="F28" s="212"/>
      <c r="G28" s="669"/>
      <c r="H28" s="669"/>
      <c r="I28" s="669"/>
      <c r="J28" s="668" t="s">
        <v>584</v>
      </c>
      <c r="K28" s="668"/>
      <c r="L28" s="212"/>
    </row>
    <row r="29" spans="1:12">
      <c r="A29" s="670" t="s">
        <v>585</v>
      </c>
      <c r="B29" s="670"/>
      <c r="C29" s="670"/>
      <c r="D29" s="670">
        <v>788</v>
      </c>
      <c r="E29" s="670"/>
      <c r="F29" s="670"/>
      <c r="G29" s="671"/>
      <c r="H29" s="671"/>
      <c r="I29" s="671"/>
      <c r="J29" s="670" t="s">
        <v>586</v>
      </c>
      <c r="K29" s="670"/>
      <c r="L29" s="213"/>
    </row>
    <row r="30" spans="1:12" ht="17" thickBot="1">
      <c r="A30" s="668" t="s">
        <v>587</v>
      </c>
      <c r="B30" s="668"/>
      <c r="C30" s="668"/>
      <c r="D30" s="668" t="s">
        <v>588</v>
      </c>
      <c r="E30" s="668"/>
      <c r="F30" s="212"/>
      <c r="G30" s="669"/>
      <c r="H30" s="669"/>
      <c r="I30" s="669"/>
      <c r="J30" s="668" t="s">
        <v>589</v>
      </c>
      <c r="K30" s="668"/>
      <c r="L30" s="212"/>
    </row>
    <row r="31" spans="1:12">
      <c r="A31" s="670" t="s">
        <v>590</v>
      </c>
      <c r="B31" s="670"/>
      <c r="C31" s="670"/>
      <c r="D31" s="672" t="s">
        <v>591</v>
      </c>
      <c r="E31" s="672"/>
      <c r="F31" s="214"/>
      <c r="G31" s="671"/>
      <c r="H31" s="671"/>
      <c r="I31" s="671"/>
      <c r="J31" s="672" t="s">
        <v>592</v>
      </c>
      <c r="K31" s="672"/>
      <c r="L31" s="214"/>
    </row>
    <row r="32" spans="1:12">
      <c r="A32" s="668" t="s">
        <v>593</v>
      </c>
      <c r="B32" s="668"/>
      <c r="C32" s="668"/>
      <c r="D32" s="668">
        <v>-949</v>
      </c>
      <c r="E32" s="668"/>
      <c r="F32" s="212"/>
      <c r="G32" s="669"/>
      <c r="H32" s="669"/>
      <c r="I32" s="669"/>
      <c r="J32" s="668">
        <v>-469</v>
      </c>
      <c r="K32" s="668"/>
      <c r="L32" s="212"/>
    </row>
    <row r="33" spans="1:3">
      <c r="A33" s="670" t="s">
        <v>594</v>
      </c>
      <c r="B33" s="670"/>
      <c r="C33" s="670"/>
    </row>
  </sheetData>
  <mergeCells count="113">
    <mergeCell ref="A32:C32"/>
    <mergeCell ref="D32:E32"/>
    <mergeCell ref="G32:I32"/>
    <mergeCell ref="J32:K32"/>
    <mergeCell ref="A33:C33"/>
    <mergeCell ref="A30:C30"/>
    <mergeCell ref="D30:E30"/>
    <mergeCell ref="G30:I30"/>
    <mergeCell ref="J30:K30"/>
    <mergeCell ref="A31:C31"/>
    <mergeCell ref="D31:E31"/>
    <mergeCell ref="G31:I31"/>
    <mergeCell ref="J31:K31"/>
    <mergeCell ref="A28:C28"/>
    <mergeCell ref="D28:E28"/>
    <mergeCell ref="G28:I28"/>
    <mergeCell ref="J28:K28"/>
    <mergeCell ref="A29:C29"/>
    <mergeCell ref="D29:F29"/>
    <mergeCell ref="G29:I29"/>
    <mergeCell ref="J29:K29"/>
    <mergeCell ref="A26:C26"/>
    <mergeCell ref="D26:F26"/>
    <mergeCell ref="G26:I26"/>
    <mergeCell ref="J26:K26"/>
    <mergeCell ref="A27:C27"/>
    <mergeCell ref="D27:F27"/>
    <mergeCell ref="G27:I27"/>
    <mergeCell ref="J27:K27"/>
    <mergeCell ref="A24:C24"/>
    <mergeCell ref="D24:F24"/>
    <mergeCell ref="G24:I24"/>
    <mergeCell ref="J24:K24"/>
    <mergeCell ref="A25:C25"/>
    <mergeCell ref="D25:F25"/>
    <mergeCell ref="G25:I25"/>
    <mergeCell ref="J25:K25"/>
    <mergeCell ref="A22:C22"/>
    <mergeCell ref="D22:F22"/>
    <mergeCell ref="G22:I22"/>
    <mergeCell ref="J22:K22"/>
    <mergeCell ref="A23:C23"/>
    <mergeCell ref="D23:F23"/>
    <mergeCell ref="G23:I23"/>
    <mergeCell ref="J23:K23"/>
    <mergeCell ref="A20:C20"/>
    <mergeCell ref="D20:F20"/>
    <mergeCell ref="G20:I20"/>
    <mergeCell ref="J20:K20"/>
    <mergeCell ref="A21:C21"/>
    <mergeCell ref="D21:F21"/>
    <mergeCell ref="G21:I21"/>
    <mergeCell ref="J21:K21"/>
    <mergeCell ref="A18:C18"/>
    <mergeCell ref="D18:F18"/>
    <mergeCell ref="G18:I18"/>
    <mergeCell ref="J18:L18"/>
    <mergeCell ref="A19:C19"/>
    <mergeCell ref="D19:E19"/>
    <mergeCell ref="G19:I19"/>
    <mergeCell ref="J19:K19"/>
    <mergeCell ref="A16:C16"/>
    <mergeCell ref="D16:F16"/>
    <mergeCell ref="G16:I16"/>
    <mergeCell ref="J16:L16"/>
    <mergeCell ref="A17:C17"/>
    <mergeCell ref="D17:F17"/>
    <mergeCell ref="G17:I17"/>
    <mergeCell ref="J17:K17"/>
    <mergeCell ref="A14:C14"/>
    <mergeCell ref="D14:E14"/>
    <mergeCell ref="G14:I14"/>
    <mergeCell ref="J14:K14"/>
    <mergeCell ref="A15:C15"/>
    <mergeCell ref="D15:F15"/>
    <mergeCell ref="G15:I15"/>
    <mergeCell ref="J15:L15"/>
    <mergeCell ref="A12:C12"/>
    <mergeCell ref="D12:E12"/>
    <mergeCell ref="G12:I12"/>
    <mergeCell ref="J12:K12"/>
    <mergeCell ref="A13:C13"/>
    <mergeCell ref="D13:E13"/>
    <mergeCell ref="G13:I13"/>
    <mergeCell ref="J13:K13"/>
    <mergeCell ref="A10:C10"/>
    <mergeCell ref="D10:E10"/>
    <mergeCell ref="G10:I10"/>
    <mergeCell ref="J10:K10"/>
    <mergeCell ref="A11:C11"/>
    <mergeCell ref="D11:E11"/>
    <mergeCell ref="G11:I11"/>
    <mergeCell ref="J11:K11"/>
    <mergeCell ref="A9:C9"/>
    <mergeCell ref="D9:E9"/>
    <mergeCell ref="G9:I9"/>
    <mergeCell ref="J9:K9"/>
    <mergeCell ref="A6:C6"/>
    <mergeCell ref="G6:I6"/>
    <mergeCell ref="A7:C7"/>
    <mergeCell ref="D7:E7"/>
    <mergeCell ref="G7:I7"/>
    <mergeCell ref="J7:K7"/>
    <mergeCell ref="A4:C4"/>
    <mergeCell ref="D4:F4"/>
    <mergeCell ref="G4:I4"/>
    <mergeCell ref="J4:L4"/>
    <mergeCell ref="A5:C5"/>
    <mergeCell ref="D5:L5"/>
    <mergeCell ref="A8:C8"/>
    <mergeCell ref="D8:E8"/>
    <mergeCell ref="G8:I8"/>
    <mergeCell ref="J8:K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6F14A-F576-4AA3-B9A4-19F6C1717829}">
  <dimension ref="A2:V40"/>
  <sheetViews>
    <sheetView topLeftCell="A2" zoomScale="75" workbookViewId="0">
      <selection activeCell="G35" sqref="G35"/>
    </sheetView>
  </sheetViews>
  <sheetFormatPr baseColWidth="10" defaultColWidth="11" defaultRowHeight="16"/>
  <cols>
    <col min="1" max="1" width="48.83203125" bestFit="1" customWidth="1"/>
    <col min="2" max="6" width="7" bestFit="1" customWidth="1"/>
    <col min="9" max="9" width="50.6640625" bestFit="1" customWidth="1"/>
    <col min="10" max="13" width="7" bestFit="1" customWidth="1"/>
  </cols>
  <sheetData>
    <row r="2" spans="1:16">
      <c r="A2" s="285" t="s">
        <v>595</v>
      </c>
      <c r="B2" s="285"/>
      <c r="C2" s="285">
        <v>2025</v>
      </c>
      <c r="D2">
        <v>2024</v>
      </c>
      <c r="E2">
        <v>2023</v>
      </c>
      <c r="I2" t="s">
        <v>596</v>
      </c>
    </row>
    <row r="3" spans="1:16">
      <c r="A3" s="285" t="s">
        <v>597</v>
      </c>
      <c r="B3" s="285"/>
      <c r="C3" s="286">
        <v>0.19</v>
      </c>
      <c r="I3" t="s">
        <v>598</v>
      </c>
      <c r="J3" t="s">
        <v>599</v>
      </c>
      <c r="K3" t="s">
        <v>600</v>
      </c>
      <c r="L3" t="s">
        <v>601</v>
      </c>
      <c r="M3" t="s">
        <v>602</v>
      </c>
      <c r="N3" t="s">
        <v>603</v>
      </c>
    </row>
    <row r="4" spans="1:16">
      <c r="A4" s="285" t="s">
        <v>604</v>
      </c>
      <c r="B4" s="285"/>
      <c r="C4" s="286">
        <v>0.18</v>
      </c>
      <c r="I4" t="s">
        <v>605</v>
      </c>
      <c r="J4" s="70">
        <v>0.19</v>
      </c>
      <c r="K4" s="70">
        <v>0.19</v>
      </c>
      <c r="L4" s="70">
        <v>0.19</v>
      </c>
      <c r="M4" s="70">
        <v>0.17</v>
      </c>
      <c r="N4" s="70">
        <v>0.16</v>
      </c>
      <c r="O4" s="70"/>
      <c r="P4" s="70"/>
    </row>
    <row r="5" spans="1:16">
      <c r="A5" s="285" t="s">
        <v>606</v>
      </c>
      <c r="B5" s="285"/>
      <c r="C5" s="286">
        <v>0.15</v>
      </c>
      <c r="I5" t="s">
        <v>597</v>
      </c>
      <c r="J5" s="70">
        <v>0.18</v>
      </c>
      <c r="K5" s="70">
        <v>0.18</v>
      </c>
      <c r="L5" s="70">
        <v>0.18</v>
      </c>
      <c r="M5" s="70">
        <v>0.19</v>
      </c>
      <c r="N5" s="70">
        <v>0.19</v>
      </c>
      <c r="O5" s="70"/>
      <c r="P5" s="70"/>
    </row>
    <row r="6" spans="1:16">
      <c r="A6" s="285" t="s">
        <v>607</v>
      </c>
      <c r="B6" s="285"/>
      <c r="C6" s="286">
        <v>0.11</v>
      </c>
      <c r="I6" t="s">
        <v>606</v>
      </c>
      <c r="J6" s="70">
        <v>0.15</v>
      </c>
      <c r="K6" s="70">
        <v>0.15</v>
      </c>
      <c r="L6" s="70">
        <v>0.15</v>
      </c>
      <c r="M6" s="70">
        <v>0.14000000000000001</v>
      </c>
      <c r="N6" s="70">
        <v>0.15</v>
      </c>
      <c r="O6" s="70"/>
      <c r="P6" s="70"/>
    </row>
    <row r="7" spans="1:16">
      <c r="A7" s="285" t="s">
        <v>608</v>
      </c>
      <c r="B7" s="285"/>
      <c r="C7" s="286">
        <v>0.1</v>
      </c>
      <c r="I7" t="s">
        <v>609</v>
      </c>
      <c r="J7" s="70">
        <v>0.11</v>
      </c>
      <c r="K7" s="70">
        <v>0.1</v>
      </c>
      <c r="L7" s="70">
        <v>0.11</v>
      </c>
      <c r="M7" s="70">
        <v>0.1</v>
      </c>
      <c r="N7" s="70">
        <v>0.1</v>
      </c>
      <c r="O7" s="70"/>
      <c r="P7" s="70"/>
    </row>
    <row r="8" spans="1:16">
      <c r="A8" s="285" t="s">
        <v>610</v>
      </c>
      <c r="B8" s="285"/>
      <c r="C8" s="286">
        <v>0.08</v>
      </c>
      <c r="I8" t="s">
        <v>608</v>
      </c>
      <c r="J8" s="70">
        <v>0.1</v>
      </c>
      <c r="K8" s="70">
        <v>0.1</v>
      </c>
      <c r="L8" s="70">
        <v>0.1</v>
      </c>
      <c r="M8" s="70">
        <v>0.11</v>
      </c>
      <c r="N8" s="70">
        <v>0.11</v>
      </c>
      <c r="O8" s="70"/>
      <c r="P8" s="70"/>
    </row>
    <row r="9" spans="1:16">
      <c r="A9" s="285" t="s">
        <v>611</v>
      </c>
      <c r="B9" s="285"/>
      <c r="C9" s="286">
        <v>7.0000000000000007E-2</v>
      </c>
      <c r="I9" t="s">
        <v>610</v>
      </c>
      <c r="J9" s="70">
        <v>0.08</v>
      </c>
      <c r="K9" s="70">
        <v>0.09</v>
      </c>
      <c r="L9" s="70">
        <v>0.09</v>
      </c>
      <c r="M9" s="70">
        <v>0.08</v>
      </c>
      <c r="N9" s="70">
        <v>0.08</v>
      </c>
      <c r="O9" s="70"/>
      <c r="P9" s="70"/>
    </row>
    <row r="10" spans="1:16">
      <c r="A10" s="285" t="s">
        <v>612</v>
      </c>
      <c r="B10" s="285"/>
      <c r="C10" s="286">
        <v>0.04</v>
      </c>
      <c r="I10" t="s">
        <v>611</v>
      </c>
      <c r="J10" s="70">
        <v>7.0000000000000007E-2</v>
      </c>
      <c r="K10" s="70">
        <v>7.0000000000000007E-2</v>
      </c>
      <c r="L10" s="70">
        <v>7.0000000000000007E-2</v>
      </c>
      <c r="M10" s="70">
        <v>7.0000000000000007E-2</v>
      </c>
      <c r="N10" s="70">
        <v>0.08</v>
      </c>
      <c r="O10" s="70"/>
      <c r="P10" s="70"/>
    </row>
    <row r="11" spans="1:16">
      <c r="A11" s="285" t="s">
        <v>613</v>
      </c>
      <c r="B11" s="285"/>
      <c r="C11" s="286">
        <v>0.03</v>
      </c>
      <c r="I11" t="s">
        <v>613</v>
      </c>
      <c r="J11" s="70">
        <v>0.04</v>
      </c>
      <c r="K11" s="70">
        <v>0.04</v>
      </c>
      <c r="L11" s="70">
        <v>0.04</v>
      </c>
      <c r="M11" s="70">
        <v>0.05</v>
      </c>
      <c r="N11" s="70">
        <v>0.05</v>
      </c>
      <c r="O11" s="70"/>
      <c r="P11" s="70"/>
    </row>
    <row r="12" spans="1:16">
      <c r="A12" s="285" t="s">
        <v>614</v>
      </c>
      <c r="B12" s="285"/>
      <c r="C12" s="286">
        <v>0.02</v>
      </c>
      <c r="I12" t="s">
        <v>615</v>
      </c>
      <c r="J12" s="70">
        <v>0.03</v>
      </c>
      <c r="K12" s="70">
        <v>0.04</v>
      </c>
      <c r="L12" s="70">
        <v>0.03</v>
      </c>
      <c r="M12" s="70">
        <v>0.03</v>
      </c>
      <c r="N12" s="70">
        <v>0.03</v>
      </c>
      <c r="O12" s="70"/>
      <c r="P12" s="70"/>
    </row>
    <row r="13" spans="1:16">
      <c r="A13" s="285" t="s">
        <v>616</v>
      </c>
      <c r="B13" s="285"/>
      <c r="C13" s="286">
        <v>0.03</v>
      </c>
      <c r="I13" t="s">
        <v>617</v>
      </c>
      <c r="J13" s="70">
        <v>0.02</v>
      </c>
      <c r="K13" s="70">
        <v>0.02</v>
      </c>
      <c r="L13" s="70">
        <v>0.01</v>
      </c>
      <c r="M13" s="70">
        <v>0.01</v>
      </c>
      <c r="N13" s="70">
        <v>0</v>
      </c>
      <c r="O13" s="70"/>
      <c r="P13" s="70"/>
    </row>
    <row r="14" spans="1:16">
      <c r="I14" t="s">
        <v>127</v>
      </c>
      <c r="J14" s="70">
        <v>0.03</v>
      </c>
      <c r="K14" s="70">
        <v>0.02</v>
      </c>
      <c r="L14" s="70">
        <v>0.03</v>
      </c>
      <c r="M14" s="70">
        <v>0.05</v>
      </c>
      <c r="N14" s="70">
        <v>0.05</v>
      </c>
    </row>
    <row r="15" spans="1:16">
      <c r="N15" s="70"/>
    </row>
    <row r="20" spans="1:22">
      <c r="V20" t="s">
        <v>618</v>
      </c>
    </row>
    <row r="23" spans="1:22">
      <c r="A23" s="285" t="s">
        <v>619</v>
      </c>
      <c r="B23" s="285"/>
      <c r="C23" s="285">
        <v>2025</v>
      </c>
      <c r="D23">
        <v>2024</v>
      </c>
      <c r="E23">
        <v>2023</v>
      </c>
      <c r="F23">
        <v>2022</v>
      </c>
      <c r="G23">
        <v>2021</v>
      </c>
    </row>
    <row r="24" spans="1:22">
      <c r="A24" s="285" t="s">
        <v>620</v>
      </c>
      <c r="B24" s="285"/>
      <c r="C24" s="286">
        <v>0.6</v>
      </c>
    </row>
    <row r="25" spans="1:22">
      <c r="A25" s="285" t="s">
        <v>621</v>
      </c>
      <c r="B25" s="285"/>
      <c r="C25" s="286">
        <v>0.08</v>
      </c>
    </row>
    <row r="26" spans="1:22">
      <c r="A26" s="285" t="s">
        <v>622</v>
      </c>
      <c r="B26" s="285"/>
      <c r="C26" s="286">
        <v>0.08</v>
      </c>
    </row>
    <row r="27" spans="1:22">
      <c r="A27" s="285" t="s">
        <v>623</v>
      </c>
      <c r="B27" s="285"/>
      <c r="C27" s="286">
        <v>7.0000000000000007E-2</v>
      </c>
    </row>
    <row r="28" spans="1:22">
      <c r="A28" s="285" t="s">
        <v>127</v>
      </c>
      <c r="B28" s="285"/>
      <c r="C28" s="286">
        <v>0.17</v>
      </c>
    </row>
    <row r="33" spans="1:6">
      <c r="A33" t="s">
        <v>624</v>
      </c>
    </row>
    <row r="34" spans="1:6">
      <c r="A34" t="s">
        <v>625</v>
      </c>
      <c r="B34" t="s">
        <v>599</v>
      </c>
      <c r="C34" t="s">
        <v>600</v>
      </c>
      <c r="D34" t="s">
        <v>601</v>
      </c>
      <c r="E34" t="s">
        <v>602</v>
      </c>
      <c r="F34" t="s">
        <v>603</v>
      </c>
    </row>
    <row r="35" spans="1:6">
      <c r="A35" t="s">
        <v>620</v>
      </c>
      <c r="B35" s="70">
        <v>0.6</v>
      </c>
      <c r="C35" s="70">
        <v>0.62</v>
      </c>
      <c r="D35" s="70">
        <v>0.62</v>
      </c>
      <c r="E35" s="70">
        <v>0.63</v>
      </c>
      <c r="F35" s="70">
        <v>0.66</v>
      </c>
    </row>
    <row r="36" spans="1:6">
      <c r="A36" t="s">
        <v>626</v>
      </c>
      <c r="B36" s="70">
        <v>0.08</v>
      </c>
      <c r="C36" s="70">
        <v>7.0000000000000007E-2</v>
      </c>
      <c r="D36" s="70">
        <v>0.08</v>
      </c>
      <c r="E36" s="70">
        <v>0.08</v>
      </c>
      <c r="F36" s="70">
        <v>0.09</v>
      </c>
    </row>
    <row r="37" spans="1:6">
      <c r="A37" t="s">
        <v>622</v>
      </c>
      <c r="B37" s="70">
        <v>0.08</v>
      </c>
      <c r="C37" s="70">
        <v>7.0000000000000007E-2</v>
      </c>
      <c r="D37" s="70">
        <v>7.0000000000000007E-2</v>
      </c>
      <c r="E37" s="70">
        <v>0.08</v>
      </c>
      <c r="F37" s="70">
        <v>0.06</v>
      </c>
    </row>
    <row r="38" spans="1:6">
      <c r="A38" t="s">
        <v>623</v>
      </c>
      <c r="B38" s="70">
        <v>7.0000000000000007E-2</v>
      </c>
      <c r="C38" s="70">
        <v>0.06</v>
      </c>
      <c r="D38" s="70">
        <v>0.08</v>
      </c>
      <c r="E38" s="70">
        <v>7.0000000000000007E-2</v>
      </c>
      <c r="F38" s="70">
        <v>0.05</v>
      </c>
    </row>
    <row r="39" spans="1:6">
      <c r="A39" t="s">
        <v>127</v>
      </c>
      <c r="B39" s="70">
        <v>0.17</v>
      </c>
      <c r="C39" s="70">
        <v>0.18</v>
      </c>
      <c r="D39" s="70">
        <v>0.15</v>
      </c>
      <c r="E39" s="70">
        <v>0.14000000000000001</v>
      </c>
      <c r="F39" s="70">
        <v>0.14000000000000001</v>
      </c>
    </row>
    <row r="40" spans="1:6">
      <c r="A40" t="s">
        <v>627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FCFF</vt:lpstr>
      <vt:lpstr>Sales breakdown</vt:lpstr>
      <vt:lpstr>WACC</vt:lpstr>
      <vt:lpstr>DDM (only div)</vt:lpstr>
      <vt:lpstr>Ratios</vt:lpstr>
      <vt:lpstr>Comparables</vt:lpstr>
      <vt:lpstr>Sales Charts</vt:lpstr>
      <vt:lpstr>All financial statements 21-25</vt:lpstr>
      <vt:lpstr>Statement of Cash Flows</vt:lpstr>
      <vt:lpstr>Income Statement</vt:lpstr>
      <vt:lpstr>Balance Sheet</vt:lpstr>
      <vt:lpstr>Comparable Co Statements </vt:lpstr>
      <vt:lpstr>Bonds</vt:lpstr>
      <vt:lpstr>Graphics for Presentation</vt:lpstr>
      <vt:lpstr>Cash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Brockenbrough, Grace</dc:creator>
  <cp:keywords/>
  <dc:description/>
  <cp:lastModifiedBy>Brockenbrough, Grace</cp:lastModifiedBy>
  <cp:revision/>
  <dcterms:created xsi:type="dcterms:W3CDTF">2026-04-02T14:13:02Z</dcterms:created>
  <dcterms:modified xsi:type="dcterms:W3CDTF">2026-08-26T19:22:53Z</dcterms:modified>
  <cp:category/>
  <cp:contentStatus/>
</cp:coreProperties>
</file>